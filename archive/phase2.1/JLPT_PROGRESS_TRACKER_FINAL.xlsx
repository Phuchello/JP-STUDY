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147eb23b5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àm nhanh" sheetId="5" r:id="Ra1d58390700649ce"/>
    <x:sheet xmlns:r="http://schemas.openxmlformats.org/officeDocument/2006/relationships" name="Nhật ký" sheetId="1" r:id="R5340e22e7fd544ae"/>
    <x:sheet xmlns:r="http://schemas.openxmlformats.org/officeDocument/2006/relationships" name="Đo năng lực" sheetId="2" r:id="R7fe0479290e84567"/>
    <x:sheet xmlns:r="http://schemas.openxmlformats.org/officeDocument/2006/relationships" name="Tổng hợp tuần" sheetId="3" r:id="R45a2a47c8c394ae7"/>
    <x:sheet xmlns:r="http://schemas.openxmlformats.org/officeDocument/2006/relationships" name="Chẩn đoán" sheetId="4" r:id="R544624832f9847c3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"/>
    <x:numFmt numFmtId="202" formatCode="0"/>
    <x:numFmt numFmtId="203" formatCode="0%"/>
  </x:numFmts>
  <x:fonts count="13">
    <x:font>
      <x:sz val="11"/>
      <x:name val="Carlito"/>
    </x:font>
    <x:font>
      <x:sz val="10"/>
      <x:color rgb="FF20282E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i/>
      <x:sz val="10"/>
      <x:color rgb="FF5D6972"/>
      <x:name val="Arial"/>
    </x:font>
    <x:font>
      <x:b/>
      <x:sz val="11"/>
      <x:color rgb="FF314C62"/>
      <x:name val="Arial"/>
    </x:font>
    <x:font>
      <x:sz val="10"/>
      <x:color rgb="FF234E72"/>
      <x:name val="Arial"/>
    </x:font>
    <x:font>
      <x:b/>
      <x:sz val="12"/>
      <x:color rgb="FF20282E"/>
      <x:name val="Arial"/>
    </x:font>
    <x:font>
      <x:sz val="11"/>
      <x:color rgb="FF20282E"/>
      <x:name val="Arial"/>
    </x:font>
    <x:font>
      <x:b/>
      <x:sz val="16"/>
      <x:color rgb="FF20282E"/>
      <x:name val="Arial"/>
    </x:font>
    <x:font>
      <x:u val="single"/>
      <x:sz val="11"/>
      <x:color rgb="FF234E72"/>
      <x:name val="Arial"/>
    </x:font>
    <x:font>
      <x:b/>
      <x:sz val="12"/>
      <x:color rgb="FFFFFFFF"/>
      <x:name val="Arial"/>
    </x:font>
    <x:font>
      <x:sz val="1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  <x:fill>
      <x:patternFill patternType="solid">
        <x:fgColor rgb="FF314C62"/>
      </x:patternFill>
    </x:fill>
    <x:fill>
      <x:patternFill patternType="solid">
        <x:fgColor rgb="FFFFF7DE"/>
      </x:patternFill>
    </x:fill>
    <x:fill>
      <x:patternFill patternType="solid">
        <x:fgColor rgb="FFF1F5F8"/>
      </x:patternFill>
    </x:fill>
  </x:fills>
  <x:borders count="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6" borderId="0" xfId="0" applyNumberFormat="1" applyFont="1" applyFill="1" applyBorder="1" applyAlignment="1">
      <x:alignment vertical="center"/>
    </x:xf>
    <x:xf numFmtId="203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  <x:xf numFmtId="202" fontId="1" fillId="7" borderId="0" xfId="0" applyNumberFormat="1" applyFont="1" applyFill="1" applyBorder="1" applyAlignment="1">
      <x:alignment horizontal="right" vertical="center"/>
    </x:xf>
    <x:xf numFmtId="203" fontId="1" fillId="7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11" fillId="8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9" borderId="5" xfId="0" applyNumberFormat="1" applyFont="1" applyFill="1" applyBorder="1" applyAlignment="1">
      <x:alignment horizontal="center" vertical="center"/>
    </x:xf>
    <x:xf numFmtId="200" fontId="8" fillId="9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0" fontId="0" fillId="0" borderId="0" xfId="0" applyNumberFormat="1" applyFont="1" applyFill="1" applyBorder="1"/>
    <x:xf numFmtId="0" fontId="12" fillId="0" borderId="0" xfId="0" applyNumberFormat="1" applyFont="1" applyFill="1" applyBorder="1"/>
    <x:xf numFmtId="200" fontId="12" fillId="9" borderId="0" xfId="0" applyNumberFormat="1" applyFont="1" applyFill="1" applyBorder="1"/>
    <x:xf numFmtId="200" fontId="12" fillId="0" borderId="0" xfId="0" applyNumberFormat="1" applyFont="1" applyFill="1" applyBorder="1"/>
  </x:cellXfs>
  <x:cellStyles count="1">
    <x:cellStyle name="Normal" xfId="0"/>
  </x:cellStyles>
  <x:dxfs count="23"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5EFF7"/>
        </x:patternFill>
      </x:fill>
    </x:dxf>
    <x:dxf>
      <x:font>
        <x:b/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E5EFF7"/>
        </x:patternFill>
      </x:fill>
    </x:dxf>
    <x:dxf>
      <x:font>
        <x:color rgb="FF9C2F2F"/>
      </x:font>
      <x:fill>
        <x:patternFill>
          <x:bgColor rgb="FFFCE8E6"/>
        </x:patternFill>
      </x:fill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  <x:dxf>
      <x:font>
        <x:color rgb="FF9C2F2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167b567324bb7" /><Relationship Type="http://schemas.openxmlformats.org/officeDocument/2006/relationships/theme" Target="/xl/theme/theme1.xml" Id="Rf563ad9df4884d90" /><Relationship Type="http://schemas.openxmlformats.org/officeDocument/2006/relationships/sharedStrings" Target="/xl/sharedStrings.xml" Id="R0dda799c41534e5b" /><Relationship Type="http://schemas.openxmlformats.org/officeDocument/2006/relationships/worksheet" Target="/xl/worksheets/sheet1.xml" Id="R5340e22e7fd544ae" /><Relationship Type="http://schemas.openxmlformats.org/officeDocument/2006/relationships/worksheet" Target="/xl/worksheets/sheet2.xml" Id="R7fe0479290e84567" /><Relationship Type="http://schemas.openxmlformats.org/officeDocument/2006/relationships/worksheet" Target="/xl/worksheets/sheet3.xml" Id="R45a2a47c8c394ae7" /><Relationship Type="http://schemas.openxmlformats.org/officeDocument/2006/relationships/worksheet" Target="/xl/worksheets/sheet4.xml" Id="R544624832f9847c3" /><Relationship Type="http://schemas.openxmlformats.org/officeDocument/2006/relationships/worksheet" Target="/xl/worksheets/sheet5.xml" Id="Ra1d583907006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hyperlink" Target="https://www.jlpt.jp/samples/sample2018/pdf/N4G.pdf" TargetMode="External" Id="R0016fb59e9df4c86"/><Relationship Type="http://schemas.openxmlformats.org/officeDocument/2006/relationships/hyperlink" Target="https://www.jlpt.jp/samples/sample2018/pdf/N4G.pdf" TargetMode="External" Id="R8bbc8000b5954b33"/><Relationship Type="http://schemas.openxmlformats.org/officeDocument/2006/relationships/hyperlink" Target="https://www.jlpt.jp/samples/sample2018/pdf/N4G.pdf" TargetMode="External" Id="Radf0452c3b674d71"/><Relationship Type="http://schemas.openxmlformats.org/officeDocument/2006/relationships/hyperlink" Target="https://www.jlpt.jp/samples/sample2018/pdf/N4G.pdf" TargetMode="External" Id="R27c358897299416f"/><Relationship Type="http://schemas.openxmlformats.org/officeDocument/2006/relationships/hyperlink" Target="https://www.jlpt.jp/samples/sample2018/pdf/N4G.pdf" TargetMode="External" Id="R6df1b0ee647e4cf5"/><Relationship Type="http://schemas.openxmlformats.org/officeDocument/2006/relationships/hyperlink" Target="https://www.jlpt.jp/samples/sample2018/pdf/N4G.pdf" TargetMode="External" Id="Rfc05776d67d34ec6"/><Relationship Type="http://schemas.openxmlformats.org/officeDocument/2006/relationships/hyperlink" Target="https://www.jlpt.jp/samples/sample2018/pdf/N4G.pdf" TargetMode="External" Id="R92e2a6c85fb6400d"/><Relationship Type="http://schemas.openxmlformats.org/officeDocument/2006/relationships/hyperlink" Target="https://www.jlpt.jp/samples/sample2018/pdf/N4G.pdf" TargetMode="External" Id="R9a4886c2e1834fcd"/><Relationship Type="http://schemas.openxmlformats.org/officeDocument/2006/relationships/hyperlink" Target="https://www.jlpt.jp/samples/sample2018/pdf/N4G.pdf" TargetMode="External" Id="R3db0e1da9bf94786"/><Relationship Type="http://schemas.openxmlformats.org/officeDocument/2006/relationships/hyperlink" Target="https://www.jlpt.jp/samples/sample2018/pdf/N4G.pdf" TargetMode="External" Id="Rf32c73aa36db478c"/><Relationship Type="http://schemas.openxmlformats.org/officeDocument/2006/relationships/hyperlink" Target="https://www.jlpt.jp/samples/sample2018/pdf/N4G.pdf" TargetMode="External" Id="Rddbf0a25f8c54eae"/><Relationship Type="http://schemas.openxmlformats.org/officeDocument/2006/relationships/hyperlink" Target="https://www.jlpt.jp/samples/sample2018/pdf/N4G.pdf" TargetMode="External" Id="Rd7580f7d06784376"/><Relationship Type="http://schemas.openxmlformats.org/officeDocument/2006/relationships/hyperlink" Target="https://www.jlpt.jp/samples/sample2018/pdf/N4G.pdf" TargetMode="External" Id="Rcb041febed17416c"/><Relationship Type="http://schemas.openxmlformats.org/officeDocument/2006/relationships/hyperlink" Target="https://www.jlpt.jp/samples/sample2018/pdf/N4V.pdf" TargetMode="External" Id="Rad25322a23924d98"/><Relationship Type="http://schemas.openxmlformats.org/officeDocument/2006/relationships/hyperlink" Target="https://www.jlpt.jp/samples/sample2018/pdf/N4V.pdf" TargetMode="External" Id="R5e1250ae06884e62"/><Relationship Type="http://schemas.openxmlformats.org/officeDocument/2006/relationships/hyperlink" Target="https://www.jlpt.jp/samples/sample2018/pdf/N4V.pdf" TargetMode="External" Id="R689bad4b13ab499e"/><Relationship Type="http://schemas.openxmlformats.org/officeDocument/2006/relationships/hyperlink" Target="https://www.jlpt.jp/samples/sample2018/pdf/N4V.pdf" TargetMode="External" Id="R52b28dc0339142bd"/><Relationship Type="http://schemas.openxmlformats.org/officeDocument/2006/relationships/hyperlink" Target="https://www.jlpt.jp/samples/sample2018/pdf/N4V.pdf" TargetMode="External" Id="Rc61cf47061524224"/><Relationship Type="http://schemas.openxmlformats.org/officeDocument/2006/relationships/hyperlink" Target="https://www.jlpt.jp/samples/sample2018/pdf/N4V.pdf" TargetMode="External" Id="Rae3ac7bc5e93483c"/><Relationship Type="http://schemas.openxmlformats.org/officeDocument/2006/relationships/hyperlink" Target="https://www.jlpt.jp/samples/sample2018/pdf/N4V.pdf" TargetMode="External" Id="R67fd196205c444a2"/><Relationship Type="http://schemas.openxmlformats.org/officeDocument/2006/relationships/hyperlink" Target="https://www.jlpt.jp/samples/sample2018/pdf/N4V.pdf" TargetMode="External" Id="R17df00d511f64bbb"/><Relationship Type="http://schemas.openxmlformats.org/officeDocument/2006/relationships/hyperlink" Target="https://www.jlpt.jp/samples/sample2018/pdf/N4V.pdf" TargetMode="External" Id="Re6057a2d3b81496f"/><Relationship Type="http://schemas.openxmlformats.org/officeDocument/2006/relationships/hyperlink" Target="https://www.jlpt.jp/samples/sample2018/pdf/N4V.pdf" TargetMode="External" Id="R3147a01026194171"/><Relationship Type="http://schemas.openxmlformats.org/officeDocument/2006/relationships/hyperlink" Target="https://www.jlpt.jp/samples/sample2018/pdf/N4R.pdf" TargetMode="External" Id="R37a23540a8ab4a4f"/><Relationship Type="http://schemas.openxmlformats.org/officeDocument/2006/relationships/hyperlink" Target="https://www.jlpt.jp/samples/sample2018/pdf/N4R.pdf" TargetMode="External" Id="Ra26c55edd066430b"/><Relationship Type="http://schemas.openxmlformats.org/officeDocument/2006/relationships/hyperlink" Target="https://www.jlpt.jp/samples/sample2018/pdf/N4R.pdf" TargetMode="External" Id="R24ffd329e925420a"/><Relationship Type="http://schemas.openxmlformats.org/officeDocument/2006/relationships/hyperlink" Target="https://www.jlpt.jp/samples/sample2018/pdf/N4R.pdf" TargetMode="External" Id="R52c566b1e9ce4715"/><Relationship Type="http://schemas.openxmlformats.org/officeDocument/2006/relationships/hyperlink" Target="https://www.jlpt.jp/samples/sample2018/pdf/N4R.pdf" TargetMode="External" Id="R5e2842018f834ad8"/><Relationship Type="http://schemas.openxmlformats.org/officeDocument/2006/relationships/hyperlink" Target="https://www.jlpt.jp/samples/sample2018/pdf/N4L.pdf" TargetMode="External" Id="R39baab37ffcf444c"/><Relationship Type="http://schemas.openxmlformats.org/officeDocument/2006/relationships/hyperlink" Target="https://www.jlpt.jp/samples/sample2018/pdf/N4L.pdf" TargetMode="External" Id="Rce19f5e9919d45a2"/><Relationship Type="http://schemas.openxmlformats.org/officeDocument/2006/relationships/hyperlink" Target="https://www.jlpt.jp/samples/sample2018/pdf/N4L.pdf" TargetMode="External" Id="R267c778a78954d44"/><Relationship Type="http://schemas.openxmlformats.org/officeDocument/2006/relationships/hyperlink" Target="https://www.jlpt.jp/samples/sample2018/pdf/N4L.pdf" TargetMode="External" Id="R0337694fa8e14fbc"/><Relationship Type="http://schemas.openxmlformats.org/officeDocument/2006/relationships/hyperlink" Target="https://www.jlpt.jp/samples/sample2018/pdf/N4L.pdf" TargetMode="External" Id="R89d307bb40f3489e"/><Relationship Type="http://schemas.openxmlformats.org/officeDocument/2006/relationships/hyperlink" Target="https://www.jlpt.jp/samples/sample2018/pdf/N4L.pdf" TargetMode="External" Id="R7e8512a20f3f4c59"/><Relationship Type="http://schemas.openxmlformats.org/officeDocument/2006/relationships/hyperlink" Target="https://www.jlpt.jp/samples/sample2018/pdf/N4L.pdf" TargetMode="External" Id="R3fa6b7f829344336"/><Relationship Type="http://schemas.openxmlformats.org/officeDocument/2006/relationships/hyperlink" Target="https://www.jlpt.jp/samples/sample2018/pdf/N4L.pdf" TargetMode="External" Id="R15b9fff88f2d4387"/><Relationship Type="http://schemas.openxmlformats.org/officeDocument/2006/relationships/hyperlink" Target="https://www.jlpt.jp/samples/sample2018/pdf/N3G.pdf" TargetMode="External" Id="R433834c67d384277"/><Relationship Type="http://schemas.openxmlformats.org/officeDocument/2006/relationships/hyperlink" Target="https://www.jlpt.jp/samples/sample2018/pdf/N3G.pdf" TargetMode="External" Id="R74c36432d9474c37"/><Relationship Type="http://schemas.openxmlformats.org/officeDocument/2006/relationships/hyperlink" Target="https://www.jlpt.jp/samples/sample2018/pdf/N3G.pdf" TargetMode="External" Id="R314cf6f2a8ec4fff"/><Relationship Type="http://schemas.openxmlformats.org/officeDocument/2006/relationships/hyperlink" Target="https://www.jlpt.jp/samples/sample2018/pdf/N3G.pdf" TargetMode="External" Id="Rbf6d73a9f11046aa"/><Relationship Type="http://schemas.openxmlformats.org/officeDocument/2006/relationships/hyperlink" Target="https://www.jlpt.jp/samples/sample2018/pdf/N3G.pdf" TargetMode="External" Id="R0342c26393c2494e"/><Relationship Type="http://schemas.openxmlformats.org/officeDocument/2006/relationships/hyperlink" Target="https://www.jlpt.jp/samples/sample2018/pdf/N3G.pdf" TargetMode="External" Id="R7fe02125b2644a7a"/><Relationship Type="http://schemas.openxmlformats.org/officeDocument/2006/relationships/hyperlink" Target="https://www.jlpt.jp/samples/sample2018/pdf/N3V.pdf" TargetMode="External" Id="Rc6a302681bf64b41"/><Relationship Type="http://schemas.openxmlformats.org/officeDocument/2006/relationships/hyperlink" Target="https://www.jlpt.jp/samples/sample2018/pdf/N3V.pdf" TargetMode="External" Id="R1bd3b6eb609547e9"/><Relationship Type="http://schemas.openxmlformats.org/officeDocument/2006/relationships/hyperlink" Target="https://www.jlpt.jp/samples/sample2018/pdf/N3V.pdf" TargetMode="External" Id="Rda3888bddb8e4fa7"/><Relationship Type="http://schemas.openxmlformats.org/officeDocument/2006/relationships/hyperlink" Target="https://www.jlpt.jp/samples/sample2018/pdf/N3V.pdf" TargetMode="External" Id="R6feee34a86024fe7"/><Relationship Type="http://schemas.openxmlformats.org/officeDocument/2006/relationships/hyperlink" Target="https://www.jlpt.jp/samples/sample2018/pdf/N3V.pdf" TargetMode="External" Id="R4383f9ff2e494cbc"/><Relationship Type="http://schemas.openxmlformats.org/officeDocument/2006/relationships/hyperlink" Target="https://www.jlpt.jp/samples/sample2018/pdf/N3V.pdf" TargetMode="External" Id="Rd291500981e3498f"/><Relationship Type="http://schemas.openxmlformats.org/officeDocument/2006/relationships/hyperlink" Target="https://www.jlpt.jp/samples/sample2018/pdf/N3V.pdf" TargetMode="External" Id="R87af69421fde4c1d"/><Relationship Type="http://schemas.openxmlformats.org/officeDocument/2006/relationships/hyperlink" Target="https://www.jlpt.jp/samples/sample2018/pdf/N3V.pdf" TargetMode="External" Id="R2e51912da39c487d"/><Relationship Type="http://schemas.openxmlformats.org/officeDocument/2006/relationships/hyperlink" Target="https://www.jlpt.jp/samples/sample2018/pdf/N3V.pdf" TargetMode="External" Id="Recd21c0aea2347db"/><Relationship Type="http://schemas.openxmlformats.org/officeDocument/2006/relationships/hyperlink" Target="https://www.jlpt.jp/samples/sample2018/pdf/N3V.pdf" TargetMode="External" Id="R34d89bbce0034ed5"/><Relationship Type="http://schemas.openxmlformats.org/officeDocument/2006/relationships/hyperlink" Target="https://www.jlpt.jp/samples/sample2018/pdf/N3R.pdf" TargetMode="External" Id="R8bedc4e8e1d64510"/><Relationship Type="http://schemas.openxmlformats.org/officeDocument/2006/relationships/hyperlink" Target="https://www.jlpt.jp/samples/sample2018/pdf/N3R.pdf" TargetMode="External" Id="R9db324f53bf84e56"/><Relationship Type="http://schemas.openxmlformats.org/officeDocument/2006/relationships/hyperlink" Target="https://www.jlpt.jp/samples/sample2018/pdf/N3R.pdf" TargetMode="External" Id="Ra05d05f0730d44ce"/><Relationship Type="http://schemas.openxmlformats.org/officeDocument/2006/relationships/hyperlink" Target="https://www.jlpt.jp/samples/sample2018/pdf/N3R.pdf" TargetMode="External" Id="R5aa51d0af7ba4f42"/><Relationship Type="http://schemas.openxmlformats.org/officeDocument/2006/relationships/hyperlink" Target="https://www.jlpt.jp/samples/sample2018/pdf/N3L.pdf" TargetMode="External" Id="Ra05c153153dc49f6"/><Relationship Type="http://schemas.openxmlformats.org/officeDocument/2006/relationships/hyperlink" Target="https://www.jlpt.jp/samples/sample2018/pdf/N3L.pdf" TargetMode="External" Id="R8c1ee45965184128"/><Relationship Type="http://schemas.openxmlformats.org/officeDocument/2006/relationships/hyperlink" Target="https://www.jlpt.jp/samples/sample2018/pdf/N3L.pdf" TargetMode="External" Id="R3db9cd08897d4a57"/><Relationship Type="http://schemas.openxmlformats.org/officeDocument/2006/relationships/hyperlink" Target="https://www.jlpt.jp/samples/sample2018/pdf/N3L.pdf" TargetMode="External" Id="R0187070310724098"/><Relationship Type="http://schemas.openxmlformats.org/officeDocument/2006/relationships/hyperlink" Target="https://www.jlpt.jp/samples/sample2018/pdf/N3L.pdf" TargetMode="External" Id="R00aa1d2023f24094"/><Relationship Type="http://schemas.openxmlformats.org/officeDocument/2006/relationships/hyperlink" Target="https://www.jlpt.jp/samples/sample2018/pdf/N3L.pdf" TargetMode="External" Id="R31d6951fcd6c46bb"/><Relationship Type="http://schemas.openxmlformats.org/officeDocument/2006/relationships/hyperlink" Target="https://www.jlpt.jp/samples/sample2018/pdf/N3L.pdf" TargetMode="External" Id="R3335b34c174a4aa0"/><Relationship Type="http://schemas.openxmlformats.org/officeDocument/2006/relationships/hyperlink" Target="https://www.jlpt.jp/samples/sample2018/pdf/N3L.pdf" TargetMode="External" Id="R808af98e14684860"/><Relationship Type="http://schemas.openxmlformats.org/officeDocument/2006/relationships/hyperlink" Target="https://www.jlpt.jp/samples/sample2018/pdf/N3L.pdf" TargetMode="External" Id="Re7cc38aef9ab4981"/><Relationship Type="http://schemas.openxmlformats.org/officeDocument/2006/relationships/hyperlink" Target="https://www.jlpt.jp/samples/sample2018/pdf/N3L.pdf" TargetMode="External" Id="R106c497c2bca464d"/><Relationship Id="rIdV31" Type="http://schemas.openxmlformats.org/officeDocument/2006/relationships/hyperlink" Target="https://www.jlpt.jp/samples/sample2018/pdf/N4G.pdf" TargetMode="External"/><Relationship Id="rIdV32" Type="http://schemas.openxmlformats.org/officeDocument/2006/relationships/hyperlink" Target="https://www.jlpt.jp/samples/sample2018/pdf/N4G.pdf" TargetMode="External"/><Relationship Id="rIdV33" Type="http://schemas.openxmlformats.org/officeDocument/2006/relationships/hyperlink" Target="https://www.jlpt.jp/samples/sample2018/pdf/N4G.pdf" TargetMode="External"/><Relationship Id="rIdV34" Type="http://schemas.openxmlformats.org/officeDocument/2006/relationships/hyperlink" Target="https://www.jlpt.jp/samples/sample2018/pdf/N4G.pdf" TargetMode="External"/><Relationship Id="rIdV35" Type="http://schemas.openxmlformats.org/officeDocument/2006/relationships/hyperlink" Target="https://www.jlpt.jp/samples/sample2018/pdf/N4G.pdf" TargetMode="External"/><Relationship Id="rIdV36" Type="http://schemas.openxmlformats.org/officeDocument/2006/relationships/hyperlink" Target="https://www.jlpt.jp/samples/sample2018/pdf/N4G.pdf" TargetMode="External"/><Relationship Id="rIdV37" Type="http://schemas.openxmlformats.org/officeDocument/2006/relationships/hyperlink" Target="https://www.jlpt.jp/samples/sample2018/pdf/N4G.pdf" TargetMode="External"/><Relationship Id="rIdV38" Type="http://schemas.openxmlformats.org/officeDocument/2006/relationships/hyperlink" Target="https://www.jlpt.jp/samples/sample2018/pdf/N4G.pdf" TargetMode="External"/><Relationship Id="rIdV39" Type="http://schemas.openxmlformats.org/officeDocument/2006/relationships/hyperlink" Target="https://www.jlpt.jp/samples/sample2018/pdf/N4G.pdf" TargetMode="External"/><Relationship Id="rIdV310" Type="http://schemas.openxmlformats.org/officeDocument/2006/relationships/hyperlink" Target="https://www.jlpt.jp/samples/sample2018/pdf/N4G.pdf" TargetMode="External"/><Relationship Id="rIdV311" Type="http://schemas.openxmlformats.org/officeDocument/2006/relationships/hyperlink" Target="https://www.jlpt.jp/samples/sample2018/pdf/N4G.pdf" TargetMode="External"/><Relationship Id="rIdV312" Type="http://schemas.openxmlformats.org/officeDocument/2006/relationships/hyperlink" Target="https://www.jlpt.jp/samples/sample2018/pdf/N4G.pdf" TargetMode="External"/><Relationship Id="rIdV313" Type="http://schemas.openxmlformats.org/officeDocument/2006/relationships/hyperlink" Target="https://www.jlpt.jp/samples/sample2018/pdf/N4G.pdf" TargetMode="External"/><Relationship Id="rIdV314" Type="http://schemas.openxmlformats.org/officeDocument/2006/relationships/hyperlink" Target="https://www.jlpt.jp/samples/sample2018/pdf/N4V.pdf" TargetMode="External"/><Relationship Id="rIdV315" Type="http://schemas.openxmlformats.org/officeDocument/2006/relationships/hyperlink" Target="https://www.jlpt.jp/samples/sample2018/pdf/N4V.pdf" TargetMode="External"/><Relationship Id="rIdV316" Type="http://schemas.openxmlformats.org/officeDocument/2006/relationships/hyperlink" Target="https://www.jlpt.jp/samples/sample2018/pdf/N4V.pdf" TargetMode="External"/><Relationship Id="rIdV317" Type="http://schemas.openxmlformats.org/officeDocument/2006/relationships/hyperlink" Target="https://www.jlpt.jp/samples/sample2018/pdf/N4V.pdf" TargetMode="External"/><Relationship Id="rIdV318" Type="http://schemas.openxmlformats.org/officeDocument/2006/relationships/hyperlink" Target="https://www.jlpt.jp/samples/sample2018/pdf/N4V.pdf" TargetMode="External"/><Relationship Id="rIdV319" Type="http://schemas.openxmlformats.org/officeDocument/2006/relationships/hyperlink" Target="https://www.jlpt.jp/samples/sample2018/pdf/N4V.pdf" TargetMode="External"/><Relationship Id="rIdV320" Type="http://schemas.openxmlformats.org/officeDocument/2006/relationships/hyperlink" Target="https://www.jlpt.jp/samples/sample2018/pdf/N4V.pdf" TargetMode="External"/><Relationship Id="rIdV321" Type="http://schemas.openxmlformats.org/officeDocument/2006/relationships/hyperlink" Target="https://www.jlpt.jp/samples/sample2018/pdf/N4V.pdf" TargetMode="External"/><Relationship Id="rIdV322" Type="http://schemas.openxmlformats.org/officeDocument/2006/relationships/hyperlink" Target="https://www.jlpt.jp/samples/sample2018/pdf/N4V.pdf" TargetMode="External"/><Relationship Id="rIdV323" Type="http://schemas.openxmlformats.org/officeDocument/2006/relationships/hyperlink" Target="https://www.jlpt.jp/samples/sample2018/pdf/N4V.pdf" TargetMode="External"/><Relationship Id="rIdV324" Type="http://schemas.openxmlformats.org/officeDocument/2006/relationships/hyperlink" Target="https://www.jlpt.jp/samples/sample2018/pdf/N4R.pdf" TargetMode="External"/><Relationship Id="rIdV325" Type="http://schemas.openxmlformats.org/officeDocument/2006/relationships/hyperlink" Target="https://www.jlpt.jp/samples/sample2018/pdf/N4R.pdf" TargetMode="External"/><Relationship Id="rIdV326" Type="http://schemas.openxmlformats.org/officeDocument/2006/relationships/hyperlink" Target="https://www.jlpt.jp/samples/sample2018/pdf/N4R.pdf" TargetMode="External"/><Relationship Id="rIdV327" Type="http://schemas.openxmlformats.org/officeDocument/2006/relationships/hyperlink" Target="https://www.jlpt.jp/samples/sample2018/pdf/N4R.pdf" TargetMode="External"/><Relationship Id="rIdV328" Type="http://schemas.openxmlformats.org/officeDocument/2006/relationships/hyperlink" Target="https://www.jlpt.jp/samples/sample2018/pdf/N4R.pdf" TargetMode="External"/><Relationship Id="rIdV329" Type="http://schemas.openxmlformats.org/officeDocument/2006/relationships/hyperlink" Target="https://www.jlpt.jp/samples/sample2018/pdf/N4L.pdf" TargetMode="External"/><Relationship Id="rIdV330" Type="http://schemas.openxmlformats.org/officeDocument/2006/relationships/hyperlink" Target="https://www.jlpt.jp/samples/sample2018/pdf/N4L.pdf" TargetMode="External"/><Relationship Id="rIdV331" Type="http://schemas.openxmlformats.org/officeDocument/2006/relationships/hyperlink" Target="https://www.jlpt.jp/samples/sample2018/pdf/N4L.pdf" TargetMode="External"/><Relationship Id="rIdV332" Type="http://schemas.openxmlformats.org/officeDocument/2006/relationships/hyperlink" Target="https://www.jlpt.jp/samples/sample2018/pdf/N4L.pdf" TargetMode="External"/><Relationship Id="rIdV333" Type="http://schemas.openxmlformats.org/officeDocument/2006/relationships/hyperlink" Target="https://www.jlpt.jp/samples/sample2018/pdf/N4L.pdf" TargetMode="External"/><Relationship Id="rIdV334" Type="http://schemas.openxmlformats.org/officeDocument/2006/relationships/hyperlink" Target="https://www.jlpt.jp/samples/sample2018/pdf/N4L.pdf" TargetMode="External"/><Relationship Id="rIdV335" Type="http://schemas.openxmlformats.org/officeDocument/2006/relationships/hyperlink" Target="https://www.jlpt.jp/samples/sample2018/pdf/N4L.pdf" TargetMode="External"/><Relationship Id="rIdV336" Type="http://schemas.openxmlformats.org/officeDocument/2006/relationships/hyperlink" Target="https://www.jlpt.jp/samples/sample2018/pdf/N4L.pdf" TargetMode="External"/><Relationship Id="rIdV337" Type="http://schemas.openxmlformats.org/officeDocument/2006/relationships/hyperlink" Target="https://www.jlpt.jp/samples/sample2018/pdf/N3G.pdf" TargetMode="External"/><Relationship Id="rIdV338" Type="http://schemas.openxmlformats.org/officeDocument/2006/relationships/hyperlink" Target="https://www.jlpt.jp/samples/sample2018/pdf/N3G.pdf" TargetMode="External"/><Relationship Id="rIdV339" Type="http://schemas.openxmlformats.org/officeDocument/2006/relationships/hyperlink" Target="https://www.jlpt.jp/samples/sample2018/pdf/N3G.pdf" TargetMode="External"/><Relationship Id="rIdV340" Type="http://schemas.openxmlformats.org/officeDocument/2006/relationships/hyperlink" Target="https://www.jlpt.jp/samples/sample2018/pdf/N3G.pdf" TargetMode="External"/><Relationship Id="rIdV341" Type="http://schemas.openxmlformats.org/officeDocument/2006/relationships/hyperlink" Target="https://www.jlpt.jp/samples/sample2018/pdf/N3G.pdf" TargetMode="External"/><Relationship Id="rIdV342" Type="http://schemas.openxmlformats.org/officeDocument/2006/relationships/hyperlink" Target="https://www.jlpt.jp/samples/sample2018/pdf/N3G.pdf" TargetMode="External"/><Relationship Id="rIdV343" Type="http://schemas.openxmlformats.org/officeDocument/2006/relationships/hyperlink" Target="https://www.jlpt.jp/samples/sample2018/pdf/N3V.pdf" TargetMode="External"/><Relationship Id="rIdV344" Type="http://schemas.openxmlformats.org/officeDocument/2006/relationships/hyperlink" Target="https://www.jlpt.jp/samples/sample2018/pdf/N3V.pdf" TargetMode="External"/><Relationship Id="rIdV345" Type="http://schemas.openxmlformats.org/officeDocument/2006/relationships/hyperlink" Target="https://www.jlpt.jp/samples/sample2018/pdf/N3V.pdf" TargetMode="External"/><Relationship Id="rIdV346" Type="http://schemas.openxmlformats.org/officeDocument/2006/relationships/hyperlink" Target="https://www.jlpt.jp/samples/sample2018/pdf/N3V.pdf" TargetMode="External"/><Relationship Id="rIdV347" Type="http://schemas.openxmlformats.org/officeDocument/2006/relationships/hyperlink" Target="https://www.jlpt.jp/samples/sample2018/pdf/N3V.pdf" TargetMode="External"/><Relationship Id="rIdV348" Type="http://schemas.openxmlformats.org/officeDocument/2006/relationships/hyperlink" Target="https://www.jlpt.jp/samples/sample2018/pdf/N3V.pdf" TargetMode="External"/><Relationship Id="rIdV349" Type="http://schemas.openxmlformats.org/officeDocument/2006/relationships/hyperlink" Target="https://www.jlpt.jp/samples/sample2018/pdf/N3V.pdf" TargetMode="External"/><Relationship Id="rIdV350" Type="http://schemas.openxmlformats.org/officeDocument/2006/relationships/hyperlink" Target="https://www.jlpt.jp/samples/sample2018/pdf/N3V.pdf" TargetMode="External"/><Relationship Id="rIdV351" Type="http://schemas.openxmlformats.org/officeDocument/2006/relationships/hyperlink" Target="https://www.jlpt.jp/samples/sample2018/pdf/N3V.pdf" TargetMode="External"/><Relationship Id="rIdV352" Type="http://schemas.openxmlformats.org/officeDocument/2006/relationships/hyperlink" Target="https://www.jlpt.jp/samples/sample2018/pdf/N3V.pdf" TargetMode="External"/><Relationship Id="rIdV353" Type="http://schemas.openxmlformats.org/officeDocument/2006/relationships/hyperlink" Target="https://www.jlpt.jp/samples/sample2018/pdf/N3R.pdf" TargetMode="External"/><Relationship Id="rIdV354" Type="http://schemas.openxmlformats.org/officeDocument/2006/relationships/hyperlink" Target="https://www.jlpt.jp/samples/sample2018/pdf/N3R.pdf" TargetMode="External"/><Relationship Id="rIdV355" Type="http://schemas.openxmlformats.org/officeDocument/2006/relationships/hyperlink" Target="https://www.jlpt.jp/samples/sample2018/pdf/N3R.pdf" TargetMode="External"/><Relationship Id="rIdV356" Type="http://schemas.openxmlformats.org/officeDocument/2006/relationships/hyperlink" Target="https://www.jlpt.jp/samples/sample2018/pdf/N3R.pdf" TargetMode="External"/><Relationship Id="rIdV357" Type="http://schemas.openxmlformats.org/officeDocument/2006/relationships/hyperlink" Target="https://www.jlpt.jp/samples/sample2018/pdf/N3L.pdf" TargetMode="External"/><Relationship Id="rIdV358" Type="http://schemas.openxmlformats.org/officeDocument/2006/relationships/hyperlink" Target="https://www.jlpt.jp/samples/sample2018/pdf/N3L.pdf" TargetMode="External"/><Relationship Id="rIdV359" Type="http://schemas.openxmlformats.org/officeDocument/2006/relationships/hyperlink" Target="https://www.jlpt.jp/samples/sample2018/pdf/N3L.pdf" TargetMode="External"/><Relationship Id="rIdV360" Type="http://schemas.openxmlformats.org/officeDocument/2006/relationships/hyperlink" Target="https://www.jlpt.jp/samples/sample2018/pdf/N3L.pdf" TargetMode="External"/><Relationship Id="rIdV361" Type="http://schemas.openxmlformats.org/officeDocument/2006/relationships/hyperlink" Target="https://www.jlpt.jp/samples/sample2018/pdf/N3L.pdf" TargetMode="External"/><Relationship Id="rIdV362" Type="http://schemas.openxmlformats.org/officeDocument/2006/relationships/hyperlink" Target="https://www.jlpt.jp/samples/sample2018/pdf/N3L.pdf" TargetMode="External"/><Relationship Id="rIdV363" Type="http://schemas.openxmlformats.org/officeDocument/2006/relationships/hyperlink" Target="https://www.jlpt.jp/samples/sample2018/pdf/N3L.pdf" TargetMode="External"/><Relationship Id="rIdV364" Type="http://schemas.openxmlformats.org/officeDocument/2006/relationships/hyperlink" Target="https://www.jlpt.jp/samples/sample2018/pdf/N3L.pdf" TargetMode="External"/><Relationship Id="rIdV365" Type="http://schemas.openxmlformats.org/officeDocument/2006/relationships/hyperlink" Target="https://www.jlpt.jp/samples/sample2018/pdf/N3L.pdf" TargetMode="External"/><Relationship Id="rIdV366" Type="http://schemas.openxmlformats.org/officeDocument/2006/relationships/hyperlink" Target="https://www.jlpt.jp/samples/sample2018/pdf/N3L.pdf" TargetMode="External"/></Relationships>
</file>

<file path=xl/worksheets/_rels/sheet5.xml.rels><?xml version='1.0' encoding='UTF-8' standalone='yes'?>
<Relationships xmlns="http://schemas.openxmlformats.org/package/2006/relationships"><Relationship Id="rIdV31" Type="http://schemas.openxmlformats.org/officeDocument/2006/relationships/hyperlink" Target="https://www.jlpt.jp/samples/sample2018/pdf/N4G.pdf" TargetMode="External"/><Relationship Id="rIdV32" Type="http://schemas.openxmlformats.org/officeDocument/2006/relationships/hyperlink" Target="https://www.jlpt.jp/samples/sample2018/pdf/N4answer.pdf" TargetMode="External"/><Relationship Id="rIdV33" Type="http://schemas.openxmlformats.org/officeDocument/2006/relationships/hyperlink" Target="https://www.jlpt.jp/samples/sample2018/pdf/N4G.pdf" TargetMode="External"/><Relationship Id="rIdV34" Type="http://schemas.openxmlformats.org/officeDocument/2006/relationships/hyperlink" Target="https://www.jlpt.jp/samples/sample2018/pdf/N4answer.pdf" TargetMode="External"/><Relationship Id="rIdV35" Type="http://schemas.openxmlformats.org/officeDocument/2006/relationships/hyperlink" Target="https://www.jlpt.jp/samples/sample2018/pdf/N4V.pdf" TargetMode="External"/><Relationship Id="rIdV36" Type="http://schemas.openxmlformats.org/officeDocument/2006/relationships/hyperlink" Target="https://www.jlpt.jp/samples/sample2018/pdf/N4answer.pdf" TargetMode="External"/><Relationship Id="rIdV37" Type="http://schemas.openxmlformats.org/officeDocument/2006/relationships/hyperlink" Target="https://www.jlpt.jp/samples/sample2018/pdf/N4R.pdf" TargetMode="External"/><Relationship Id="rIdV38" Type="http://schemas.openxmlformats.org/officeDocument/2006/relationships/hyperlink" Target="https://www.jlpt.jp/samples/sample2018/pdf/N4answer.pdf" TargetMode="External"/><Relationship Id="rIdV39" Type="http://schemas.openxmlformats.org/officeDocument/2006/relationships/hyperlink" Target="https://www.jlpt.jp/samples/sample2018/pdf/N4L.pdf" TargetMode="External"/><Relationship Id="rIdV310" Type="http://schemas.openxmlformats.org/officeDocument/2006/relationships/hyperlink" Target="https://www.jlpt.jp/samples/sample2018/pdf/N4answer.pdf" TargetMode="External"/><Relationship Id="rIdV311" Type="http://schemas.openxmlformats.org/officeDocument/2006/relationships/hyperlink" Target="https://www.jlpt.jp/samples/sample2018/pdf/N4L.pdf" TargetMode="External"/><Relationship Id="rIdV312" Type="http://schemas.openxmlformats.org/officeDocument/2006/relationships/hyperlink" Target="https://www.jlpt.jp/samples/sample2018/pdf/N4answer.pdf" TargetMode="External"/><Relationship Id="rIdV313" Type="http://schemas.openxmlformats.org/officeDocument/2006/relationships/hyperlink" Target="https://www.jlpt.jp/samples/sample2018/pdf/N3G.pdf" TargetMode="External"/><Relationship Id="rIdV314" Type="http://schemas.openxmlformats.org/officeDocument/2006/relationships/hyperlink" Target="https://www.jlpt.jp/samples/sample2018/pdf/N3answer.pdf" TargetMode="External"/><Relationship Id="rIdV315" Type="http://schemas.openxmlformats.org/officeDocument/2006/relationships/hyperlink" Target="https://www.jlpt.jp/samples/sample2018/pdf/N3V.pdf" TargetMode="External"/><Relationship Id="rIdV316" Type="http://schemas.openxmlformats.org/officeDocument/2006/relationships/hyperlink" Target="https://www.jlpt.jp/samples/sample2018/pdf/N3answer.pdf" TargetMode="External"/><Relationship Id="rIdV317" Type="http://schemas.openxmlformats.org/officeDocument/2006/relationships/hyperlink" Target="https://www.jlpt.jp/samples/sample2018/pdf/N3R.pdf" TargetMode="External"/><Relationship Id="rIdV318" Type="http://schemas.openxmlformats.org/officeDocument/2006/relationships/hyperlink" Target="https://www.jlpt.jp/samples/sample2018/pdf/N3answer.pdf" TargetMode="External"/><Relationship Id="rIdV319" Type="http://schemas.openxmlformats.org/officeDocument/2006/relationships/hyperlink" Target="https://www.jlpt.jp/samples/sample2018/pdf/N3L.pdf" TargetMode="External"/><Relationship Id="rIdV320" Type="http://schemas.openxmlformats.org/officeDocument/2006/relationships/hyperlink" Target="https://www.jlpt.jp/samples/sample2018/pdf/N3answer.pdf" TargetMode="External"/><Relationship Id="rIdV321" Type="http://schemas.openxmlformats.org/officeDocument/2006/relationships/hyperlink" Target="https://www.jlpt.jp/samples/sample2018/pdf/N3L.pdf" TargetMode="External"/><Relationship Id="rIdV322" Type="http://schemas.openxmlformats.org/officeDocument/2006/relationships/hyperlink" Target="https://www.jlpt.jp/samples/sample2018/pdf/N3answer.pdf" TargetMode="External"/></Relationships>
</file>

<file path=xl/worksheets/sheet1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9" hidden="0" customWidth="1"/>
    <x:col min="4" max="4" width="16" hidden="0" customWidth="1"/>
    <x:col min="5" max="5" width="12" hidden="0" customWidth="1"/>
    <x:col min="6" max="6" width="11" hidden="0" customWidth="1"/>
    <x:col min="7" max="7" width="11" hidden="0" customWidth="1"/>
    <x:col min="8" max="8" width="32" hidden="0" customWidth="1"/>
    <x:col min="9" max="9" width="13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10" t="str">
        <x:v>Nhật ký tiếng Nhật từ 15 tháng 10 đến 5 tháng 12 năm 2026</x:v>
      </x:c>
      <x:c r="B2" s="10"/>
      <x:c r="C2" s="10"/>
      <x:c r="D2" s="10"/>
      <x:c r="E2" s="10"/>
      <x:c r="F2" s="10"/>
      <x:c r="G2" s="10"/>
      <x:c r="H2" s="10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28" customHeight="1">
      <x:c r="A4" s="2" t="str">
        <x:v>Ngày có ghi</x:v>
      </x:c>
      <x:c r="B4" s="14" t="n">
        <x:f>COUNT(E8:E59)</x:f>
        <x:v>0</x:v>
      </x:c>
      <x:c r="C4" s="2" t="str">
        <x:v>Phút học</x:v>
      </x:c>
      <x:c r="D4" s="14" t="str">
        <x:f>IF(COUNT(E8:E59)=0,"",SUM(E8:E59))</x:f>
      </x:c>
      <x:c r="E4" s="2" t="str">
        <x:v>Phút nghe</x:v>
      </x:c>
      <x:c r="F4" s="14" t="str">
        <x:f>IF(COUNT(F8:F59)=0,"",SUM(F8:F59))</x:f>
      </x:c>
      <x:c r="G4" s="2" t="str">
        <x:v>Phút nói</x:v>
      </x:c>
      <x:c r="H4" s="14" t="str">
        <x:f>IF(COUNT(G8:G59)=0,"",SUM(G8:G59))</x:f>
      </x:c>
    </x:row>
    <x:row r="5" ht="22" customHeight="1">
      <x:c r="A5" s="12" t="str">
        <x:v>Ô vàng để nhập. Chưa biết để trống; nghỉ thật nhập 0 phút. Ngủ là tổng 24 giờ, gồm ngủ bù.</x:v>
      </x:c>
      <x:c r="B5" s="12"/>
      <x:c r="C5" s="12"/>
      <x:c r="D5" s="12"/>
      <x:c r="E5" s="12"/>
      <x:c r="F5" s="12"/>
      <x:c r="G5" s="12"/>
      <x:c r="H5" s="12"/>
    </x:row>
    <x:row r="6" ht="22" customHeight="1">
      <x:c r="A6" s="12" t="str">
        <x:v>Nhập chế độ và tổng phút; thêm nghe/nói nếu biết. Mã lỗi ở I. Cột J trở đi tự kiểm tra.</x:v>
      </x:c>
      <x:c r="B6" s="12"/>
      <x:c r="C6" s="12"/>
      <x:c r="D6" s="12"/>
      <x:c r="E6" s="12"/>
      <x:c r="F6" s="12"/>
      <x:c r="G6" s="12"/>
      <x:c r="H6" s="12"/>
    </x:row>
    <x:row r="7" ht="34" customHeight="1">
      <x:c r="A7" s="7" t="str">
        <x:v>Ngày</x:v>
      </x:c>
      <x:c r="B7" s="8" t="str">
        <x:v>Ngủ 24h
(giờ)</x:v>
      </x:c>
      <x:c r="C7" s="8" t="str">
        <x:v>Mệt
1 đến 5</x:v>
      </x:c>
      <x:c r="D7" s="8" t="str">
        <x:v>Chế độ</x:v>
      </x:c>
      <x:c r="E7" s="8" t="str">
        <x:v>Học
(phút)</x:v>
      </x:c>
      <x:c r="F7" s="8" t="str">
        <x:v>Nghe
(phút)</x:v>
      </x:c>
      <x:c r="G7" s="8" t="str">
        <x:v>Nói
(phút)</x:v>
      </x:c>
      <x:c r="H7" s="9" t="str">
        <x:v>Một lỗi hoặc việc tiếp theo</x:v>
      </x:c>
      <x:c r="I7" s="36" t="str">
        <x:v>Mã lỗi chính</x:v>
      </x:c>
      <x:c r="J7" s="37" t="str">
        <x:v>Kiểm tra dòng</x:v>
      </x:c>
      <x:c r="K7" s="37" t="str">
        <x:v>Có giờ ngủ</x:v>
      </x:c>
      <x:c r="L7" s="37" t="str">
        <x:v>Có mức mệt</x:v>
      </x:c>
      <x:c r="M7" s="37" t="str">
        <x:v>Có phút nghe</x:v>
      </x:c>
      <x:c r="N7" s="37" t="str">
        <x:v>Có phút nói</x:v>
      </x:c>
      <x:c r="O7" s="38" t="str">
        <x:v>Đã ghi phút học</x:v>
      </x:c>
    </x:row>
    <x:row r="8" ht="25" customHeight="1">
      <x:c r="A8" s="22" t="n">
        <x:v>46310</x:v>
      </x:c>
      <x:c r="B8" s="23"/>
      <x:c r="C8" s="24"/>
      <x:c r="D8" s="26"/>
      <x:c r="E8" s="24"/>
      <x:c r="F8" s="24"/>
      <x:c r="G8" s="24"/>
      <x:c r="H8" s="21"/>
      <x:c r="I8" s="39"/>
      <x:c r="J8" s="40" t="str">
        <x:f>IF(AND(COUNTA(B8:I8)=0),"",IF(OR(AND(NOT(ISBLANK(B8)),OR(NOT(ISNUMBER(B8)),B8&lt;0,B8&gt;24)),AND(NOT(ISBLANK(C8)),IF(ISNUMBER(C8),OR(C8&lt;1,C8&gt;5,MOD(C8,1)&lt;&gt;0),TRUE))),"Lỗi ngủ/mệt",IF(NOT(ISNUMBER(E8)),"Thiếu tổng phút",IF(OR(E8&lt;0,OR(AND(NOT(ISBLANK(F8)),OR(NOT(ISNUMBER(F8)),F8&lt;0)),AND(NOT(ISBLANK(G8)),OR(NOT(ISNUMBER(G8)),G8&lt;0)))),"Lỗi phút",IF(SUM(F8:G8)&gt;E8,"Nghe+nói vượt tổng",IF(AND(D8&lt;&gt;"Nghỉ",D8&lt;&gt;"Kiệt sức",D8&lt;&gt;"Bình thường",D8&lt;&gt;"Đủ sức"),"Thiếu chế độ",IF(AND(LEN(I8)&gt;0,COUNTIF($I$63:$I$69,I8)=0),"Lỗi mã","Hợp lệ")))))))</x:f>
      </x:c>
      <x:c r="K8" s="40" t="n">
        <x:f>IF(AND(ISNUMBER(B8),B8&gt;=0,B8&lt;=24),1,0)</x:f>
        <x:v>0</x:v>
      </x:c>
      <x:c r="L8" s="40" t="n">
        <x:f>IF(ISNUMBER(C8),IF(AND(C8&gt;=1,C8&lt;=5,MOD(C8,1)=0),1,0),0)</x:f>
        <x:v>0</x:v>
      </x:c>
      <x:c r="M8" s="40" t="n">
        <x:f>IF(AND(J8="Hợp lệ",ISNUMBER(F8)),1,0)</x:f>
        <x:v>0</x:v>
      </x:c>
      <x:c r="N8" s="40" t="n">
        <x:f>IF(AND(J8="Hợp lệ",ISNUMBER(G8)),1,0)</x:f>
        <x:v>0</x:v>
      </x:c>
      <x:c r="O8" s="40" t="n">
        <x:f>IF(J8="Hợp lệ",1,0)</x:f>
        <x:v>0</x:v>
      </x:c>
    </x:row>
    <x:row r="9" ht="25" customHeight="1">
      <x:c r="A9" s="22" t="n">
        <x:v>46311</x:v>
      </x:c>
      <x:c r="B9" s="23"/>
      <x:c r="C9" s="24"/>
      <x:c r="D9" s="26"/>
      <x:c r="E9" s="24"/>
      <x:c r="F9" s="24"/>
      <x:c r="G9" s="24"/>
      <x:c r="H9" s="21"/>
      <x:c r="I9" s="39"/>
      <x:c r="J9" s="40" t="str">
        <x:f>IF(AND(COUNTA(B9:I9)=0),"",IF(OR(AND(NOT(ISBLANK(B9)),OR(NOT(ISNUMBER(B9)),B9&lt;0,B9&gt;24)),AND(NOT(ISBLANK(C9)),IF(ISNUMBER(C9),OR(C9&lt;1,C9&gt;5,MOD(C9,1)&lt;&gt;0),TRUE))),"Lỗi ngủ/mệt",IF(NOT(ISNUMBER(E9)),"Thiếu tổng phút",IF(OR(E9&lt;0,OR(AND(NOT(ISBLANK(F9)),OR(NOT(ISNUMBER(F9)),F9&lt;0)),AND(NOT(ISBLANK(G9)),OR(NOT(ISNUMBER(G9)),G9&lt;0)))),"Lỗi phút",IF(SUM(F9:G9)&gt;E9,"Nghe+nói vượt tổng",IF(AND(D9&lt;&gt;"Nghỉ",D9&lt;&gt;"Kiệt sức",D9&lt;&gt;"Bình thường",D9&lt;&gt;"Đủ sức"),"Thiếu chế độ",IF(AND(LEN(I9)&gt;0,COUNTIF($I$63:$I$69,I9)=0),"Lỗi mã","Hợp lệ")))))))</x:f>
      </x:c>
      <x:c r="K9" s="40" t="n">
        <x:f>IF(AND(ISNUMBER(B9),B9&gt;=0,B9&lt;=24),1,0)</x:f>
        <x:v>0</x:v>
      </x:c>
      <x:c r="L9" s="40" t="n">
        <x:f>IF(ISNUMBER(C9),IF(AND(C9&gt;=1,C9&lt;=5,MOD(C9,1)=0),1,0),0)</x:f>
        <x:v>0</x:v>
      </x:c>
      <x:c r="M9" s="40" t="n">
        <x:f>IF(AND(J9="Hợp lệ",ISNUMBER(F9)),1,0)</x:f>
        <x:v>0</x:v>
      </x:c>
      <x:c r="N9" s="40" t="n">
        <x:f>IF(AND(J9="Hợp lệ",ISNUMBER(G9)),1,0)</x:f>
        <x:v>0</x:v>
      </x:c>
      <x:c r="O9" s="40" t="n">
        <x:f>IF(J9="Hợp lệ",1,0)</x:f>
        <x:v>0</x:v>
      </x:c>
    </x:row>
    <x:row r="10" ht="25" customHeight="1">
      <x:c r="A10" s="22" t="n">
        <x:v>46312</x:v>
      </x:c>
      <x:c r="B10" s="23"/>
      <x:c r="C10" s="24"/>
      <x:c r="D10" s="26"/>
      <x:c r="E10" s="24"/>
      <x:c r="F10" s="24"/>
      <x:c r="G10" s="24"/>
      <x:c r="H10" s="21"/>
      <x:c r="I10" s="39"/>
      <x:c r="J10" s="40" t="str">
        <x:f>IF(AND(COUNTA(B10:I10)=0),"",IF(OR(AND(NOT(ISBLANK(B10)),OR(NOT(ISNUMBER(B10)),B10&lt;0,B10&gt;24)),AND(NOT(ISBLANK(C10)),IF(ISNUMBER(C10),OR(C10&lt;1,C10&gt;5,MOD(C10,1)&lt;&gt;0),TRUE))),"Lỗi ngủ/mệt",IF(NOT(ISNUMBER(E10)),"Thiếu tổng phút",IF(OR(E10&lt;0,OR(AND(NOT(ISBLANK(F10)),OR(NOT(ISNUMBER(F10)),F10&lt;0)),AND(NOT(ISBLANK(G10)),OR(NOT(ISNUMBER(G10)),G10&lt;0)))),"Lỗi phút",IF(SUM(F10:G10)&gt;E10,"Nghe+nói vượt tổng",IF(AND(D10&lt;&gt;"Nghỉ",D10&lt;&gt;"Kiệt sức",D10&lt;&gt;"Bình thường",D10&lt;&gt;"Đủ sức"),"Thiếu chế độ",IF(AND(LEN(I10)&gt;0,COUNTIF($I$63:$I$69,I10)=0),"Lỗi mã","Hợp lệ")))))))</x:f>
      </x:c>
      <x:c r="K10" s="40" t="n">
        <x:f>IF(AND(ISNUMBER(B10),B10&gt;=0,B10&lt;=24),1,0)</x:f>
        <x:v>0</x:v>
      </x:c>
      <x:c r="L10" s="40" t="n">
        <x:f>IF(ISNUMBER(C10),IF(AND(C10&gt;=1,C10&lt;=5,MOD(C10,1)=0),1,0),0)</x:f>
        <x:v>0</x:v>
      </x:c>
      <x:c r="M10" s="40" t="n">
        <x:f>IF(AND(J10="Hợp lệ",ISNUMBER(F10)),1,0)</x:f>
        <x:v>0</x:v>
      </x:c>
      <x:c r="N10" s="40" t="n">
        <x:f>IF(AND(J10="Hợp lệ",ISNUMBER(G10)),1,0)</x:f>
        <x:v>0</x:v>
      </x:c>
      <x:c r="O10" s="40" t="n">
        <x:f>IF(J10="Hợp lệ",1,0)</x:f>
        <x:v>0</x:v>
      </x:c>
    </x:row>
    <x:row r="11" ht="25" customHeight="1">
      <x:c r="A11" s="22" t="n">
        <x:v>46313</x:v>
      </x:c>
      <x:c r="B11" s="23"/>
      <x:c r="C11" s="24"/>
      <x:c r="D11" s="26"/>
      <x:c r="E11" s="24"/>
      <x:c r="F11" s="24"/>
      <x:c r="G11" s="24"/>
      <x:c r="H11" s="21"/>
      <x:c r="I11" s="39"/>
      <x:c r="J11" s="40" t="str">
        <x:f>IF(AND(COUNTA(B11:I11)=0),"",IF(OR(AND(NOT(ISBLANK(B11)),OR(NOT(ISNUMBER(B11)),B11&lt;0,B11&gt;24)),AND(NOT(ISBLANK(C11)),IF(ISNUMBER(C11),OR(C11&lt;1,C11&gt;5,MOD(C11,1)&lt;&gt;0),TRUE))),"Lỗi ngủ/mệt",IF(NOT(ISNUMBER(E11)),"Thiếu tổng phút",IF(OR(E11&lt;0,OR(AND(NOT(ISBLANK(F11)),OR(NOT(ISNUMBER(F11)),F11&lt;0)),AND(NOT(ISBLANK(G11)),OR(NOT(ISNUMBER(G11)),G11&lt;0)))),"Lỗi phút",IF(SUM(F11:G11)&gt;E11,"Nghe+nói vượt tổng",IF(AND(D11&lt;&gt;"Nghỉ",D11&lt;&gt;"Kiệt sức",D11&lt;&gt;"Bình thường",D11&lt;&gt;"Đủ sức"),"Thiếu chế độ",IF(AND(LEN(I11)&gt;0,COUNTIF($I$63:$I$69,I11)=0),"Lỗi mã","Hợp lệ")))))))</x:f>
      </x:c>
      <x:c r="K11" s="40" t="n">
        <x:f>IF(AND(ISNUMBER(B11),B11&gt;=0,B11&lt;=24),1,0)</x:f>
        <x:v>0</x:v>
      </x:c>
      <x:c r="L11" s="40" t="n">
        <x:f>IF(ISNUMBER(C11),IF(AND(C11&gt;=1,C11&lt;=5,MOD(C11,1)=0),1,0),0)</x:f>
        <x:v>0</x:v>
      </x:c>
      <x:c r="M11" s="40" t="n">
        <x:f>IF(AND(J11="Hợp lệ",ISNUMBER(F11)),1,0)</x:f>
        <x:v>0</x:v>
      </x:c>
      <x:c r="N11" s="40" t="n">
        <x:f>IF(AND(J11="Hợp lệ",ISNUMBER(G11)),1,0)</x:f>
        <x:v>0</x:v>
      </x:c>
      <x:c r="O11" s="40" t="n">
        <x:f>IF(J11="Hợp lệ",1,0)</x:f>
        <x:v>0</x:v>
      </x:c>
    </x:row>
    <x:row r="12" ht="25" customHeight="1">
      <x:c r="A12" s="22" t="n">
        <x:v>46314</x:v>
      </x:c>
      <x:c r="B12" s="23"/>
      <x:c r="C12" s="24"/>
      <x:c r="D12" s="26"/>
      <x:c r="E12" s="24"/>
      <x:c r="F12" s="24"/>
      <x:c r="G12" s="24"/>
      <x:c r="H12" s="21"/>
      <x:c r="I12" s="39"/>
      <x:c r="J12" s="40" t="str">
        <x:f>IF(AND(COUNTA(B12:I12)=0),"",IF(OR(AND(NOT(ISBLANK(B12)),OR(NOT(ISNUMBER(B12)),B12&lt;0,B12&gt;24)),AND(NOT(ISBLANK(C12)),IF(ISNUMBER(C12),OR(C12&lt;1,C12&gt;5,MOD(C12,1)&lt;&gt;0),TRUE))),"Lỗi ngủ/mệt",IF(NOT(ISNUMBER(E12)),"Thiếu tổng phút",IF(OR(E12&lt;0,OR(AND(NOT(ISBLANK(F12)),OR(NOT(ISNUMBER(F12)),F12&lt;0)),AND(NOT(ISBLANK(G12)),OR(NOT(ISNUMBER(G12)),G12&lt;0)))),"Lỗi phút",IF(SUM(F12:G12)&gt;E12,"Nghe+nói vượt tổng",IF(AND(D12&lt;&gt;"Nghỉ",D12&lt;&gt;"Kiệt sức",D12&lt;&gt;"Bình thường",D12&lt;&gt;"Đủ sức"),"Thiếu chế độ",IF(AND(LEN(I12)&gt;0,COUNTIF($I$63:$I$69,I12)=0),"Lỗi mã","Hợp lệ")))))))</x:f>
      </x:c>
      <x:c r="K12" s="40" t="n">
        <x:f>IF(AND(ISNUMBER(B12),B12&gt;=0,B12&lt;=24),1,0)</x:f>
        <x:v>0</x:v>
      </x:c>
      <x:c r="L12" s="40" t="n">
        <x:f>IF(ISNUMBER(C12),IF(AND(C12&gt;=1,C12&lt;=5,MOD(C12,1)=0),1,0),0)</x:f>
        <x:v>0</x:v>
      </x:c>
      <x:c r="M12" s="40" t="n">
        <x:f>IF(AND(J12="Hợp lệ",ISNUMBER(F12)),1,0)</x:f>
        <x:v>0</x:v>
      </x:c>
      <x:c r="N12" s="40" t="n">
        <x:f>IF(AND(J12="Hợp lệ",ISNUMBER(G12)),1,0)</x:f>
        <x:v>0</x:v>
      </x:c>
      <x:c r="O12" s="40" t="n">
        <x:f>IF(J12="Hợp lệ",1,0)</x:f>
        <x:v>0</x:v>
      </x:c>
    </x:row>
    <x:row r="13" ht="25" customHeight="1">
      <x:c r="A13" s="22" t="n">
        <x:v>46315</x:v>
      </x:c>
      <x:c r="B13" s="23"/>
      <x:c r="C13" s="24"/>
      <x:c r="D13" s="26"/>
      <x:c r="E13" s="24"/>
      <x:c r="F13" s="24"/>
      <x:c r="G13" s="24"/>
      <x:c r="H13" s="21"/>
      <x:c r="I13" s="39"/>
      <x:c r="J13" s="40" t="str">
        <x:f>IF(AND(COUNTA(B13:I13)=0),"",IF(OR(AND(NOT(ISBLANK(B13)),OR(NOT(ISNUMBER(B13)),B13&lt;0,B13&gt;24)),AND(NOT(ISBLANK(C13)),IF(ISNUMBER(C13),OR(C13&lt;1,C13&gt;5,MOD(C13,1)&lt;&gt;0),TRUE))),"Lỗi ngủ/mệt",IF(NOT(ISNUMBER(E13)),"Thiếu tổng phút",IF(OR(E13&lt;0,OR(AND(NOT(ISBLANK(F13)),OR(NOT(ISNUMBER(F13)),F13&lt;0)),AND(NOT(ISBLANK(G13)),OR(NOT(ISNUMBER(G13)),G13&lt;0)))),"Lỗi phút",IF(SUM(F13:G13)&gt;E13,"Nghe+nói vượt tổng",IF(AND(D13&lt;&gt;"Nghỉ",D13&lt;&gt;"Kiệt sức",D13&lt;&gt;"Bình thường",D13&lt;&gt;"Đủ sức"),"Thiếu chế độ",IF(AND(LEN(I13)&gt;0,COUNTIF($I$63:$I$69,I13)=0),"Lỗi mã","Hợp lệ")))))))</x:f>
      </x:c>
      <x:c r="K13" s="40" t="n">
        <x:f>IF(AND(ISNUMBER(B13),B13&gt;=0,B13&lt;=24),1,0)</x:f>
        <x:v>0</x:v>
      </x:c>
      <x:c r="L13" s="40" t="n">
        <x:f>IF(ISNUMBER(C13),IF(AND(C13&gt;=1,C13&lt;=5,MOD(C13,1)=0),1,0),0)</x:f>
        <x:v>0</x:v>
      </x:c>
      <x:c r="M13" s="40" t="n">
        <x:f>IF(AND(J13="Hợp lệ",ISNUMBER(F13)),1,0)</x:f>
        <x:v>0</x:v>
      </x:c>
      <x:c r="N13" s="40" t="n">
        <x:f>IF(AND(J13="Hợp lệ",ISNUMBER(G13)),1,0)</x:f>
        <x:v>0</x:v>
      </x:c>
      <x:c r="O13" s="40" t="n">
        <x:f>IF(J13="Hợp lệ",1,0)</x:f>
        <x:v>0</x:v>
      </x:c>
    </x:row>
    <x:row r="14" ht="25" customHeight="1">
      <x:c r="A14" s="22" t="n">
        <x:v>46316</x:v>
      </x:c>
      <x:c r="B14" s="23"/>
      <x:c r="C14" s="24"/>
      <x:c r="D14" s="26"/>
      <x:c r="E14" s="24"/>
      <x:c r="F14" s="24"/>
      <x:c r="G14" s="24"/>
      <x:c r="H14" s="21"/>
      <x:c r="I14" s="39"/>
      <x:c r="J14" s="40" t="str">
        <x:f>IF(AND(COUNTA(B14:I14)=0),"",IF(OR(AND(NOT(ISBLANK(B14)),OR(NOT(ISNUMBER(B14)),B14&lt;0,B14&gt;24)),AND(NOT(ISBLANK(C14)),IF(ISNUMBER(C14),OR(C14&lt;1,C14&gt;5,MOD(C14,1)&lt;&gt;0),TRUE))),"Lỗi ngủ/mệt",IF(NOT(ISNUMBER(E14)),"Thiếu tổng phút",IF(OR(E14&lt;0,OR(AND(NOT(ISBLANK(F14)),OR(NOT(ISNUMBER(F14)),F14&lt;0)),AND(NOT(ISBLANK(G14)),OR(NOT(ISNUMBER(G14)),G14&lt;0)))),"Lỗi phút",IF(SUM(F14:G14)&gt;E14,"Nghe+nói vượt tổng",IF(AND(D14&lt;&gt;"Nghỉ",D14&lt;&gt;"Kiệt sức",D14&lt;&gt;"Bình thường",D14&lt;&gt;"Đủ sức"),"Thiếu chế độ",IF(AND(LEN(I14)&gt;0,COUNTIF($I$63:$I$69,I14)=0),"Lỗi mã","Hợp lệ")))))))</x:f>
      </x:c>
      <x:c r="K14" s="40" t="n">
        <x:f>IF(AND(ISNUMBER(B14),B14&gt;=0,B14&lt;=24),1,0)</x:f>
        <x:v>0</x:v>
      </x:c>
      <x:c r="L14" s="40" t="n">
        <x:f>IF(ISNUMBER(C14),IF(AND(C14&gt;=1,C14&lt;=5,MOD(C14,1)=0),1,0),0)</x:f>
        <x:v>0</x:v>
      </x:c>
      <x:c r="M14" s="40" t="n">
        <x:f>IF(AND(J14="Hợp lệ",ISNUMBER(F14)),1,0)</x:f>
        <x:v>0</x:v>
      </x:c>
      <x:c r="N14" s="40" t="n">
        <x:f>IF(AND(J14="Hợp lệ",ISNUMBER(G14)),1,0)</x:f>
        <x:v>0</x:v>
      </x:c>
      <x:c r="O14" s="40" t="n">
        <x:f>IF(J14="Hợp lệ",1,0)</x:f>
        <x:v>0</x:v>
      </x:c>
    </x:row>
    <x:row r="15" ht="25" customHeight="1">
      <x:c r="A15" s="22" t="n">
        <x:v>46317</x:v>
      </x:c>
      <x:c r="B15" s="23"/>
      <x:c r="C15" s="24"/>
      <x:c r="D15" s="26"/>
      <x:c r="E15" s="24"/>
      <x:c r="F15" s="24"/>
      <x:c r="G15" s="24"/>
      <x:c r="H15" s="21"/>
      <x:c r="I15" s="39"/>
      <x:c r="J15" s="40" t="str">
        <x:f>IF(AND(COUNTA(B15:I15)=0),"",IF(OR(AND(NOT(ISBLANK(B15)),OR(NOT(ISNUMBER(B15)),B15&lt;0,B15&gt;24)),AND(NOT(ISBLANK(C15)),IF(ISNUMBER(C15),OR(C15&lt;1,C15&gt;5,MOD(C15,1)&lt;&gt;0),TRUE))),"Lỗi ngủ/mệt",IF(NOT(ISNUMBER(E15)),"Thiếu tổng phút",IF(OR(E15&lt;0,OR(AND(NOT(ISBLANK(F15)),OR(NOT(ISNUMBER(F15)),F15&lt;0)),AND(NOT(ISBLANK(G15)),OR(NOT(ISNUMBER(G15)),G15&lt;0)))),"Lỗi phút",IF(SUM(F15:G15)&gt;E15,"Nghe+nói vượt tổng",IF(AND(D15&lt;&gt;"Nghỉ",D15&lt;&gt;"Kiệt sức",D15&lt;&gt;"Bình thường",D15&lt;&gt;"Đủ sức"),"Thiếu chế độ",IF(AND(LEN(I15)&gt;0,COUNTIF($I$63:$I$69,I15)=0),"Lỗi mã","Hợp lệ")))))))</x:f>
      </x:c>
      <x:c r="K15" s="40" t="n">
        <x:f>IF(AND(ISNUMBER(B15),B15&gt;=0,B15&lt;=24),1,0)</x:f>
        <x:v>0</x:v>
      </x:c>
      <x:c r="L15" s="40" t="n">
        <x:f>IF(ISNUMBER(C15),IF(AND(C15&gt;=1,C15&lt;=5,MOD(C15,1)=0),1,0),0)</x:f>
        <x:v>0</x:v>
      </x:c>
      <x:c r="M15" s="40" t="n">
        <x:f>IF(AND(J15="Hợp lệ",ISNUMBER(F15)),1,0)</x:f>
        <x:v>0</x:v>
      </x:c>
      <x:c r="N15" s="40" t="n">
        <x:f>IF(AND(J15="Hợp lệ",ISNUMBER(G15)),1,0)</x:f>
        <x:v>0</x:v>
      </x:c>
      <x:c r="O15" s="40" t="n">
        <x:f>IF(J15="Hợp lệ",1,0)</x:f>
        <x:v>0</x:v>
      </x:c>
    </x:row>
    <x:row r="16" ht="25" customHeight="1">
      <x:c r="A16" s="22" t="n">
        <x:v>46318</x:v>
      </x:c>
      <x:c r="B16" s="23"/>
      <x:c r="C16" s="24"/>
      <x:c r="D16" s="26"/>
      <x:c r="E16" s="24"/>
      <x:c r="F16" s="24"/>
      <x:c r="G16" s="24"/>
      <x:c r="H16" s="21"/>
      <x:c r="I16" s="39"/>
      <x:c r="J16" s="40" t="str">
        <x:f>IF(AND(COUNTA(B16:I16)=0),"",IF(OR(AND(NOT(ISBLANK(B16)),OR(NOT(ISNUMBER(B16)),B16&lt;0,B16&gt;24)),AND(NOT(ISBLANK(C16)),IF(ISNUMBER(C16),OR(C16&lt;1,C16&gt;5,MOD(C16,1)&lt;&gt;0),TRUE))),"Lỗi ngủ/mệt",IF(NOT(ISNUMBER(E16)),"Thiếu tổng phút",IF(OR(E16&lt;0,OR(AND(NOT(ISBLANK(F16)),OR(NOT(ISNUMBER(F16)),F16&lt;0)),AND(NOT(ISBLANK(G16)),OR(NOT(ISNUMBER(G16)),G16&lt;0)))),"Lỗi phút",IF(SUM(F16:G16)&gt;E16,"Nghe+nói vượt tổng",IF(AND(D16&lt;&gt;"Nghỉ",D16&lt;&gt;"Kiệt sức",D16&lt;&gt;"Bình thường",D16&lt;&gt;"Đủ sức"),"Thiếu chế độ",IF(AND(LEN(I16)&gt;0,COUNTIF($I$63:$I$69,I16)=0),"Lỗi mã","Hợp lệ")))))))</x:f>
      </x:c>
      <x:c r="K16" s="40" t="n">
        <x:f>IF(AND(ISNUMBER(B16),B16&gt;=0,B16&lt;=24),1,0)</x:f>
        <x:v>0</x:v>
      </x:c>
      <x:c r="L16" s="40" t="n">
        <x:f>IF(ISNUMBER(C16),IF(AND(C16&gt;=1,C16&lt;=5,MOD(C16,1)=0),1,0),0)</x:f>
        <x:v>0</x:v>
      </x:c>
      <x:c r="M16" s="40" t="n">
        <x:f>IF(AND(J16="Hợp lệ",ISNUMBER(F16)),1,0)</x:f>
        <x:v>0</x:v>
      </x:c>
      <x:c r="N16" s="40" t="n">
        <x:f>IF(AND(J16="Hợp lệ",ISNUMBER(G16)),1,0)</x:f>
        <x:v>0</x:v>
      </x:c>
      <x:c r="O16" s="40" t="n">
        <x:f>IF(J16="Hợp lệ",1,0)</x:f>
        <x:v>0</x:v>
      </x:c>
    </x:row>
    <x:row r="17" ht="25" customHeight="1">
      <x:c r="A17" s="22" t="n">
        <x:v>46319</x:v>
      </x:c>
      <x:c r="B17" s="23"/>
      <x:c r="C17" s="24"/>
      <x:c r="D17" s="26"/>
      <x:c r="E17" s="24"/>
      <x:c r="F17" s="24"/>
      <x:c r="G17" s="24"/>
      <x:c r="H17" s="21"/>
      <x:c r="I17" s="39"/>
      <x:c r="J17" s="40" t="str">
        <x:f>IF(AND(COUNTA(B17:I17)=0),"",IF(OR(AND(NOT(ISBLANK(B17)),OR(NOT(ISNUMBER(B17)),B17&lt;0,B17&gt;24)),AND(NOT(ISBLANK(C17)),IF(ISNUMBER(C17),OR(C17&lt;1,C17&gt;5,MOD(C17,1)&lt;&gt;0),TRUE))),"Lỗi ngủ/mệt",IF(NOT(ISNUMBER(E17)),"Thiếu tổng phút",IF(OR(E17&lt;0,OR(AND(NOT(ISBLANK(F17)),OR(NOT(ISNUMBER(F17)),F17&lt;0)),AND(NOT(ISBLANK(G17)),OR(NOT(ISNUMBER(G17)),G17&lt;0)))),"Lỗi phút",IF(SUM(F17:G17)&gt;E17,"Nghe+nói vượt tổng",IF(AND(D17&lt;&gt;"Nghỉ",D17&lt;&gt;"Kiệt sức",D17&lt;&gt;"Bình thường",D17&lt;&gt;"Đủ sức"),"Thiếu chế độ",IF(AND(LEN(I17)&gt;0,COUNTIF($I$63:$I$69,I17)=0),"Lỗi mã","Hợp lệ")))))))</x:f>
      </x:c>
      <x:c r="K17" s="40" t="n">
        <x:f>IF(AND(ISNUMBER(B17),B17&gt;=0,B17&lt;=24),1,0)</x:f>
        <x:v>0</x:v>
      </x:c>
      <x:c r="L17" s="40" t="n">
        <x:f>IF(ISNUMBER(C17),IF(AND(C17&gt;=1,C17&lt;=5,MOD(C17,1)=0),1,0),0)</x:f>
        <x:v>0</x:v>
      </x:c>
      <x:c r="M17" s="40" t="n">
        <x:f>IF(AND(J17="Hợp lệ",ISNUMBER(F17)),1,0)</x:f>
        <x:v>0</x:v>
      </x:c>
      <x:c r="N17" s="40" t="n">
        <x:f>IF(AND(J17="Hợp lệ",ISNUMBER(G17)),1,0)</x:f>
        <x:v>0</x:v>
      </x:c>
      <x:c r="O17" s="40" t="n">
        <x:f>IF(J17="Hợp lệ",1,0)</x:f>
        <x:v>0</x:v>
      </x:c>
    </x:row>
    <x:row r="18" ht="25" customHeight="1">
      <x:c r="A18" s="22" t="n">
        <x:v>46320</x:v>
      </x:c>
      <x:c r="B18" s="23"/>
      <x:c r="C18" s="24"/>
      <x:c r="D18" s="26"/>
      <x:c r="E18" s="24"/>
      <x:c r="F18" s="24"/>
      <x:c r="G18" s="24"/>
      <x:c r="H18" s="21"/>
      <x:c r="I18" s="39"/>
      <x:c r="J18" s="40" t="str">
        <x:f>IF(AND(COUNTA(B18:I18)=0),"",IF(OR(AND(NOT(ISBLANK(B18)),OR(NOT(ISNUMBER(B18)),B18&lt;0,B18&gt;24)),AND(NOT(ISBLANK(C18)),IF(ISNUMBER(C18),OR(C18&lt;1,C18&gt;5,MOD(C18,1)&lt;&gt;0),TRUE))),"Lỗi ngủ/mệt",IF(NOT(ISNUMBER(E18)),"Thiếu tổng phút",IF(OR(E18&lt;0,OR(AND(NOT(ISBLANK(F18)),OR(NOT(ISNUMBER(F18)),F18&lt;0)),AND(NOT(ISBLANK(G18)),OR(NOT(ISNUMBER(G18)),G18&lt;0)))),"Lỗi phút",IF(SUM(F18:G18)&gt;E18,"Nghe+nói vượt tổng",IF(AND(D18&lt;&gt;"Nghỉ",D18&lt;&gt;"Kiệt sức",D18&lt;&gt;"Bình thường",D18&lt;&gt;"Đủ sức"),"Thiếu chế độ",IF(AND(LEN(I18)&gt;0,COUNTIF($I$63:$I$69,I18)=0),"Lỗi mã","Hợp lệ")))))))</x:f>
      </x:c>
      <x:c r="K18" s="40" t="n">
        <x:f>IF(AND(ISNUMBER(B18),B18&gt;=0,B18&lt;=24),1,0)</x:f>
        <x:v>0</x:v>
      </x:c>
      <x:c r="L18" s="40" t="n">
        <x:f>IF(ISNUMBER(C18),IF(AND(C18&gt;=1,C18&lt;=5,MOD(C18,1)=0),1,0),0)</x:f>
        <x:v>0</x:v>
      </x:c>
      <x:c r="M18" s="40" t="n">
        <x:f>IF(AND(J18="Hợp lệ",ISNUMBER(F18)),1,0)</x:f>
        <x:v>0</x:v>
      </x:c>
      <x:c r="N18" s="40" t="n">
        <x:f>IF(AND(J18="Hợp lệ",ISNUMBER(G18)),1,0)</x:f>
        <x:v>0</x:v>
      </x:c>
      <x:c r="O18" s="40" t="n">
        <x:f>IF(J18="Hợp lệ",1,0)</x:f>
        <x:v>0</x:v>
      </x:c>
    </x:row>
    <x:row r="19" ht="25" customHeight="1">
      <x:c r="A19" s="22" t="n">
        <x:v>46321</x:v>
      </x:c>
      <x:c r="B19" s="23"/>
      <x:c r="C19" s="24"/>
      <x:c r="D19" s="26"/>
      <x:c r="E19" s="24"/>
      <x:c r="F19" s="24"/>
      <x:c r="G19" s="24"/>
      <x:c r="H19" s="21"/>
      <x:c r="I19" s="39"/>
      <x:c r="J19" s="40" t="str">
        <x:f>IF(AND(COUNTA(B19:I19)=0),"",IF(OR(AND(NOT(ISBLANK(B19)),OR(NOT(ISNUMBER(B19)),B19&lt;0,B19&gt;24)),AND(NOT(ISBLANK(C19)),IF(ISNUMBER(C19),OR(C19&lt;1,C19&gt;5,MOD(C19,1)&lt;&gt;0),TRUE))),"Lỗi ngủ/mệt",IF(NOT(ISNUMBER(E19)),"Thiếu tổng phút",IF(OR(E19&lt;0,OR(AND(NOT(ISBLANK(F19)),OR(NOT(ISNUMBER(F19)),F19&lt;0)),AND(NOT(ISBLANK(G19)),OR(NOT(ISNUMBER(G19)),G19&lt;0)))),"Lỗi phút",IF(SUM(F19:G19)&gt;E19,"Nghe+nói vượt tổng",IF(AND(D19&lt;&gt;"Nghỉ",D19&lt;&gt;"Kiệt sức",D19&lt;&gt;"Bình thường",D19&lt;&gt;"Đủ sức"),"Thiếu chế độ",IF(AND(LEN(I19)&gt;0,COUNTIF($I$63:$I$69,I19)=0),"Lỗi mã","Hợp lệ")))))))</x:f>
      </x:c>
      <x:c r="K19" s="40" t="n">
        <x:f>IF(AND(ISNUMBER(B19),B19&gt;=0,B19&lt;=24),1,0)</x:f>
        <x:v>0</x:v>
      </x:c>
      <x:c r="L19" s="40" t="n">
        <x:f>IF(ISNUMBER(C19),IF(AND(C19&gt;=1,C19&lt;=5,MOD(C19,1)=0),1,0),0)</x:f>
        <x:v>0</x:v>
      </x:c>
      <x:c r="M19" s="40" t="n">
        <x:f>IF(AND(J19="Hợp lệ",ISNUMBER(F19)),1,0)</x:f>
        <x:v>0</x:v>
      </x:c>
      <x:c r="N19" s="40" t="n">
        <x:f>IF(AND(J19="Hợp lệ",ISNUMBER(G19)),1,0)</x:f>
        <x:v>0</x:v>
      </x:c>
      <x:c r="O19" s="40" t="n">
        <x:f>IF(J19="Hợp lệ",1,0)</x:f>
        <x:v>0</x:v>
      </x:c>
    </x:row>
    <x:row r="20" ht="25" customHeight="1">
      <x:c r="A20" s="22" t="n">
        <x:v>46322</x:v>
      </x:c>
      <x:c r="B20" s="23"/>
      <x:c r="C20" s="24"/>
      <x:c r="D20" s="26"/>
      <x:c r="E20" s="24"/>
      <x:c r="F20" s="24"/>
      <x:c r="G20" s="24"/>
      <x:c r="H20" s="21"/>
      <x:c r="I20" s="39"/>
      <x:c r="J20" s="40" t="str">
        <x:f>IF(AND(COUNTA(B20:I20)=0),"",IF(OR(AND(NOT(ISBLANK(B20)),OR(NOT(ISNUMBER(B20)),B20&lt;0,B20&gt;24)),AND(NOT(ISBLANK(C20)),IF(ISNUMBER(C20),OR(C20&lt;1,C20&gt;5,MOD(C20,1)&lt;&gt;0),TRUE))),"Lỗi ngủ/mệt",IF(NOT(ISNUMBER(E20)),"Thiếu tổng phút",IF(OR(E20&lt;0,OR(AND(NOT(ISBLANK(F20)),OR(NOT(ISNUMBER(F20)),F20&lt;0)),AND(NOT(ISBLANK(G20)),OR(NOT(ISNUMBER(G20)),G20&lt;0)))),"Lỗi phút",IF(SUM(F20:G20)&gt;E20,"Nghe+nói vượt tổng",IF(AND(D20&lt;&gt;"Nghỉ",D20&lt;&gt;"Kiệt sức",D20&lt;&gt;"Bình thường",D20&lt;&gt;"Đủ sức"),"Thiếu chế độ",IF(AND(LEN(I20)&gt;0,COUNTIF($I$63:$I$69,I20)=0),"Lỗi mã","Hợp lệ")))))))</x:f>
      </x:c>
      <x:c r="K20" s="40" t="n">
        <x:f>IF(AND(ISNUMBER(B20),B20&gt;=0,B20&lt;=24),1,0)</x:f>
        <x:v>0</x:v>
      </x:c>
      <x:c r="L20" s="40" t="n">
        <x:f>IF(ISNUMBER(C20),IF(AND(C20&gt;=1,C20&lt;=5,MOD(C20,1)=0),1,0),0)</x:f>
        <x:v>0</x:v>
      </x:c>
      <x:c r="M20" s="40" t="n">
        <x:f>IF(AND(J20="Hợp lệ",ISNUMBER(F20)),1,0)</x:f>
        <x:v>0</x:v>
      </x:c>
      <x:c r="N20" s="40" t="n">
        <x:f>IF(AND(J20="Hợp lệ",ISNUMBER(G20)),1,0)</x:f>
        <x:v>0</x:v>
      </x:c>
      <x:c r="O20" s="40" t="n">
        <x:f>IF(J20="Hợp lệ",1,0)</x:f>
        <x:v>0</x:v>
      </x:c>
    </x:row>
    <x:row r="21" ht="25" customHeight="1">
      <x:c r="A21" s="22" t="n">
        <x:v>46323</x:v>
      </x:c>
      <x:c r="B21" s="23"/>
      <x:c r="C21" s="24"/>
      <x:c r="D21" s="26"/>
      <x:c r="E21" s="24"/>
      <x:c r="F21" s="24"/>
      <x:c r="G21" s="24"/>
      <x:c r="H21" s="21"/>
      <x:c r="I21" s="39"/>
      <x:c r="J21" s="40" t="str">
        <x:f>IF(AND(COUNTA(B21:I21)=0),"",IF(OR(AND(NOT(ISBLANK(B21)),OR(NOT(ISNUMBER(B21)),B21&lt;0,B21&gt;24)),AND(NOT(ISBLANK(C21)),IF(ISNUMBER(C21),OR(C21&lt;1,C21&gt;5,MOD(C21,1)&lt;&gt;0),TRUE))),"Lỗi ngủ/mệt",IF(NOT(ISNUMBER(E21)),"Thiếu tổng phút",IF(OR(E21&lt;0,OR(AND(NOT(ISBLANK(F21)),OR(NOT(ISNUMBER(F21)),F21&lt;0)),AND(NOT(ISBLANK(G21)),OR(NOT(ISNUMBER(G21)),G21&lt;0)))),"Lỗi phút",IF(SUM(F21:G21)&gt;E21,"Nghe+nói vượt tổng",IF(AND(D21&lt;&gt;"Nghỉ",D21&lt;&gt;"Kiệt sức",D21&lt;&gt;"Bình thường",D21&lt;&gt;"Đủ sức"),"Thiếu chế độ",IF(AND(LEN(I21)&gt;0,COUNTIF($I$63:$I$69,I21)=0),"Lỗi mã","Hợp lệ")))))))</x:f>
      </x:c>
      <x:c r="K21" s="40" t="n">
        <x:f>IF(AND(ISNUMBER(B21),B21&gt;=0,B21&lt;=24),1,0)</x:f>
        <x:v>0</x:v>
      </x:c>
      <x:c r="L21" s="40" t="n">
        <x:f>IF(ISNUMBER(C21),IF(AND(C21&gt;=1,C21&lt;=5,MOD(C21,1)=0),1,0),0)</x:f>
        <x:v>0</x:v>
      </x:c>
      <x:c r="M21" s="40" t="n">
        <x:f>IF(AND(J21="Hợp lệ",ISNUMBER(F21)),1,0)</x:f>
        <x:v>0</x:v>
      </x:c>
      <x:c r="N21" s="40" t="n">
        <x:f>IF(AND(J21="Hợp lệ",ISNUMBER(G21)),1,0)</x:f>
        <x:v>0</x:v>
      </x:c>
      <x:c r="O21" s="40" t="n">
        <x:f>IF(J21="Hợp lệ",1,0)</x:f>
        <x:v>0</x:v>
      </x:c>
    </x:row>
    <x:row r="22" ht="25" customHeight="1">
      <x:c r="A22" s="22" t="n">
        <x:v>46324</x:v>
      </x:c>
      <x:c r="B22" s="23"/>
      <x:c r="C22" s="24"/>
      <x:c r="D22" s="26"/>
      <x:c r="E22" s="24"/>
      <x:c r="F22" s="24"/>
      <x:c r="G22" s="24"/>
      <x:c r="H22" s="21"/>
      <x:c r="I22" s="39"/>
      <x:c r="J22" s="40" t="str">
        <x:f>IF(AND(COUNTA(B22:I22)=0),"",IF(OR(AND(NOT(ISBLANK(B22)),OR(NOT(ISNUMBER(B22)),B22&lt;0,B22&gt;24)),AND(NOT(ISBLANK(C22)),IF(ISNUMBER(C22),OR(C22&lt;1,C22&gt;5,MOD(C22,1)&lt;&gt;0),TRUE))),"Lỗi ngủ/mệt",IF(NOT(ISNUMBER(E22)),"Thiếu tổng phút",IF(OR(E22&lt;0,OR(AND(NOT(ISBLANK(F22)),OR(NOT(ISNUMBER(F22)),F22&lt;0)),AND(NOT(ISBLANK(G22)),OR(NOT(ISNUMBER(G22)),G22&lt;0)))),"Lỗi phút",IF(SUM(F22:G22)&gt;E22,"Nghe+nói vượt tổng",IF(AND(D22&lt;&gt;"Nghỉ",D22&lt;&gt;"Kiệt sức",D22&lt;&gt;"Bình thường",D22&lt;&gt;"Đủ sức"),"Thiếu chế độ",IF(AND(LEN(I22)&gt;0,COUNTIF($I$63:$I$69,I22)=0),"Lỗi mã","Hợp lệ")))))))</x:f>
      </x:c>
      <x:c r="K22" s="40" t="n">
        <x:f>IF(AND(ISNUMBER(B22),B22&gt;=0,B22&lt;=24),1,0)</x:f>
        <x:v>0</x:v>
      </x:c>
      <x:c r="L22" s="40" t="n">
        <x:f>IF(ISNUMBER(C22),IF(AND(C22&gt;=1,C22&lt;=5,MOD(C22,1)=0),1,0),0)</x:f>
        <x:v>0</x:v>
      </x:c>
      <x:c r="M22" s="40" t="n">
        <x:f>IF(AND(J22="Hợp lệ",ISNUMBER(F22)),1,0)</x:f>
        <x:v>0</x:v>
      </x:c>
      <x:c r="N22" s="40" t="n">
        <x:f>IF(AND(J22="Hợp lệ",ISNUMBER(G22)),1,0)</x:f>
        <x:v>0</x:v>
      </x:c>
      <x:c r="O22" s="40" t="n">
        <x:f>IF(J22="Hợp lệ",1,0)</x:f>
        <x:v>0</x:v>
      </x:c>
    </x:row>
    <x:row r="23" ht="25" customHeight="1">
      <x:c r="A23" s="22" t="n">
        <x:v>46325</x:v>
      </x:c>
      <x:c r="B23" s="23"/>
      <x:c r="C23" s="24"/>
      <x:c r="D23" s="26"/>
      <x:c r="E23" s="24"/>
      <x:c r="F23" s="24"/>
      <x:c r="G23" s="24"/>
      <x:c r="H23" s="21"/>
      <x:c r="I23" s="39"/>
      <x:c r="J23" s="40" t="str">
        <x:f>IF(AND(COUNTA(B23:I23)=0),"",IF(OR(AND(NOT(ISBLANK(B23)),OR(NOT(ISNUMBER(B23)),B23&lt;0,B23&gt;24)),AND(NOT(ISBLANK(C23)),IF(ISNUMBER(C23),OR(C23&lt;1,C23&gt;5,MOD(C23,1)&lt;&gt;0),TRUE))),"Lỗi ngủ/mệt",IF(NOT(ISNUMBER(E23)),"Thiếu tổng phút",IF(OR(E23&lt;0,OR(AND(NOT(ISBLANK(F23)),OR(NOT(ISNUMBER(F23)),F23&lt;0)),AND(NOT(ISBLANK(G23)),OR(NOT(ISNUMBER(G23)),G23&lt;0)))),"Lỗi phút",IF(SUM(F23:G23)&gt;E23,"Nghe+nói vượt tổng",IF(AND(D23&lt;&gt;"Nghỉ",D23&lt;&gt;"Kiệt sức",D23&lt;&gt;"Bình thường",D23&lt;&gt;"Đủ sức"),"Thiếu chế độ",IF(AND(LEN(I23)&gt;0,COUNTIF($I$63:$I$69,I23)=0),"Lỗi mã","Hợp lệ")))))))</x:f>
      </x:c>
      <x:c r="K23" s="40" t="n">
        <x:f>IF(AND(ISNUMBER(B23),B23&gt;=0,B23&lt;=24),1,0)</x:f>
        <x:v>0</x:v>
      </x:c>
      <x:c r="L23" s="40" t="n">
        <x:f>IF(ISNUMBER(C23),IF(AND(C23&gt;=1,C23&lt;=5,MOD(C23,1)=0),1,0),0)</x:f>
        <x:v>0</x:v>
      </x:c>
      <x:c r="M23" s="40" t="n">
        <x:f>IF(AND(J23="Hợp lệ",ISNUMBER(F23)),1,0)</x:f>
        <x:v>0</x:v>
      </x:c>
      <x:c r="N23" s="40" t="n">
        <x:f>IF(AND(J23="Hợp lệ",ISNUMBER(G23)),1,0)</x:f>
        <x:v>0</x:v>
      </x:c>
      <x:c r="O23" s="40" t="n">
        <x:f>IF(J23="Hợp lệ",1,0)</x:f>
        <x:v>0</x:v>
      </x:c>
    </x:row>
    <x:row r="24" ht="25" customHeight="1">
      <x:c r="A24" s="22" t="n">
        <x:v>46326</x:v>
      </x:c>
      <x:c r="B24" s="23"/>
      <x:c r="C24" s="24"/>
      <x:c r="D24" s="26"/>
      <x:c r="E24" s="24"/>
      <x:c r="F24" s="24"/>
      <x:c r="G24" s="24"/>
      <x:c r="H24" s="21"/>
      <x:c r="I24" s="39"/>
      <x:c r="J24" s="40" t="str">
        <x:f>IF(AND(COUNTA(B24:I24)=0),"",IF(OR(AND(NOT(ISBLANK(B24)),OR(NOT(ISNUMBER(B24)),B24&lt;0,B24&gt;24)),AND(NOT(ISBLANK(C24)),IF(ISNUMBER(C24),OR(C24&lt;1,C24&gt;5,MOD(C24,1)&lt;&gt;0),TRUE))),"Lỗi ngủ/mệt",IF(NOT(ISNUMBER(E24)),"Thiếu tổng phút",IF(OR(E24&lt;0,OR(AND(NOT(ISBLANK(F24)),OR(NOT(ISNUMBER(F24)),F24&lt;0)),AND(NOT(ISBLANK(G24)),OR(NOT(ISNUMBER(G24)),G24&lt;0)))),"Lỗi phút",IF(SUM(F24:G24)&gt;E24,"Nghe+nói vượt tổng",IF(AND(D24&lt;&gt;"Nghỉ",D24&lt;&gt;"Kiệt sức",D24&lt;&gt;"Bình thường",D24&lt;&gt;"Đủ sức"),"Thiếu chế độ",IF(AND(LEN(I24)&gt;0,COUNTIF($I$63:$I$69,I24)=0),"Lỗi mã","Hợp lệ")))))))</x:f>
      </x:c>
      <x:c r="K24" s="40" t="n">
        <x:f>IF(AND(ISNUMBER(B24),B24&gt;=0,B24&lt;=24),1,0)</x:f>
        <x:v>0</x:v>
      </x:c>
      <x:c r="L24" s="40" t="n">
        <x:f>IF(ISNUMBER(C24),IF(AND(C24&gt;=1,C24&lt;=5,MOD(C24,1)=0),1,0),0)</x:f>
        <x:v>0</x:v>
      </x:c>
      <x:c r="M24" s="40" t="n">
        <x:f>IF(AND(J24="Hợp lệ",ISNUMBER(F24)),1,0)</x:f>
        <x:v>0</x:v>
      </x:c>
      <x:c r="N24" s="40" t="n">
        <x:f>IF(AND(J24="Hợp lệ",ISNUMBER(G24)),1,0)</x:f>
        <x:v>0</x:v>
      </x:c>
      <x:c r="O24" s="40" t="n">
        <x:f>IF(J24="Hợp lệ",1,0)</x:f>
        <x:v>0</x:v>
      </x:c>
    </x:row>
    <x:row r="25" ht="25" customHeight="1">
      <x:c r="A25" s="22" t="n">
        <x:v>46327</x:v>
      </x:c>
      <x:c r="B25" s="23"/>
      <x:c r="C25" s="24"/>
      <x:c r="D25" s="26"/>
      <x:c r="E25" s="24"/>
      <x:c r="F25" s="24"/>
      <x:c r="G25" s="24"/>
      <x:c r="H25" s="21"/>
      <x:c r="I25" s="39"/>
      <x:c r="J25" s="40" t="str">
        <x:f>IF(AND(COUNTA(B25:I25)=0),"",IF(OR(AND(NOT(ISBLANK(B25)),OR(NOT(ISNUMBER(B25)),B25&lt;0,B25&gt;24)),AND(NOT(ISBLANK(C25)),IF(ISNUMBER(C25),OR(C25&lt;1,C25&gt;5,MOD(C25,1)&lt;&gt;0),TRUE))),"Lỗi ngủ/mệt",IF(NOT(ISNUMBER(E25)),"Thiếu tổng phút",IF(OR(E25&lt;0,OR(AND(NOT(ISBLANK(F25)),OR(NOT(ISNUMBER(F25)),F25&lt;0)),AND(NOT(ISBLANK(G25)),OR(NOT(ISNUMBER(G25)),G25&lt;0)))),"Lỗi phút",IF(SUM(F25:G25)&gt;E25,"Nghe+nói vượt tổng",IF(AND(D25&lt;&gt;"Nghỉ",D25&lt;&gt;"Kiệt sức",D25&lt;&gt;"Bình thường",D25&lt;&gt;"Đủ sức"),"Thiếu chế độ",IF(AND(LEN(I25)&gt;0,COUNTIF($I$63:$I$69,I25)=0),"Lỗi mã","Hợp lệ")))))))</x:f>
      </x:c>
      <x:c r="K25" s="40" t="n">
        <x:f>IF(AND(ISNUMBER(B25),B25&gt;=0,B25&lt;=24),1,0)</x:f>
        <x:v>0</x:v>
      </x:c>
      <x:c r="L25" s="40" t="n">
        <x:f>IF(ISNUMBER(C25),IF(AND(C25&gt;=1,C25&lt;=5,MOD(C25,1)=0),1,0),0)</x:f>
        <x:v>0</x:v>
      </x:c>
      <x:c r="M25" s="40" t="n">
        <x:f>IF(AND(J25="Hợp lệ",ISNUMBER(F25)),1,0)</x:f>
        <x:v>0</x:v>
      </x:c>
      <x:c r="N25" s="40" t="n">
        <x:f>IF(AND(J25="Hợp lệ",ISNUMBER(G25)),1,0)</x:f>
        <x:v>0</x:v>
      </x:c>
      <x:c r="O25" s="40" t="n">
        <x:f>IF(J25="Hợp lệ",1,0)</x:f>
        <x:v>0</x:v>
      </x:c>
    </x:row>
    <x:row r="26" ht="25" customHeight="1">
      <x:c r="A26" s="22" t="n">
        <x:v>46328</x:v>
      </x:c>
      <x:c r="B26" s="23"/>
      <x:c r="C26" s="24"/>
      <x:c r="D26" s="26"/>
      <x:c r="E26" s="24"/>
      <x:c r="F26" s="24"/>
      <x:c r="G26" s="24"/>
      <x:c r="H26" s="21"/>
      <x:c r="I26" s="39"/>
      <x:c r="J26" s="40" t="str">
        <x:f>IF(AND(COUNTA(B26:I26)=0),"",IF(OR(AND(NOT(ISBLANK(B26)),OR(NOT(ISNUMBER(B26)),B26&lt;0,B26&gt;24)),AND(NOT(ISBLANK(C26)),IF(ISNUMBER(C26),OR(C26&lt;1,C26&gt;5,MOD(C26,1)&lt;&gt;0),TRUE))),"Lỗi ngủ/mệt",IF(NOT(ISNUMBER(E26)),"Thiếu tổng phút",IF(OR(E26&lt;0,OR(AND(NOT(ISBLANK(F26)),OR(NOT(ISNUMBER(F26)),F26&lt;0)),AND(NOT(ISBLANK(G26)),OR(NOT(ISNUMBER(G26)),G26&lt;0)))),"Lỗi phút",IF(SUM(F26:G26)&gt;E26,"Nghe+nói vượt tổng",IF(AND(D26&lt;&gt;"Nghỉ",D26&lt;&gt;"Kiệt sức",D26&lt;&gt;"Bình thường",D26&lt;&gt;"Đủ sức"),"Thiếu chế độ",IF(AND(LEN(I26)&gt;0,COUNTIF($I$63:$I$69,I26)=0),"Lỗi mã","Hợp lệ")))))))</x:f>
      </x:c>
      <x:c r="K26" s="40" t="n">
        <x:f>IF(AND(ISNUMBER(B26),B26&gt;=0,B26&lt;=24),1,0)</x:f>
        <x:v>0</x:v>
      </x:c>
      <x:c r="L26" s="40" t="n">
        <x:f>IF(ISNUMBER(C26),IF(AND(C26&gt;=1,C26&lt;=5,MOD(C26,1)=0),1,0),0)</x:f>
        <x:v>0</x:v>
      </x:c>
      <x:c r="M26" s="40" t="n">
        <x:f>IF(AND(J26="Hợp lệ",ISNUMBER(F26)),1,0)</x:f>
        <x:v>0</x:v>
      </x:c>
      <x:c r="N26" s="40" t="n">
        <x:f>IF(AND(J26="Hợp lệ",ISNUMBER(G26)),1,0)</x:f>
        <x:v>0</x:v>
      </x:c>
      <x:c r="O26" s="40" t="n">
        <x:f>IF(J26="Hợp lệ",1,0)</x:f>
        <x:v>0</x:v>
      </x:c>
    </x:row>
    <x:row r="27" ht="25" customHeight="1">
      <x:c r="A27" s="22" t="n">
        <x:v>46329</x:v>
      </x:c>
      <x:c r="B27" s="23"/>
      <x:c r="C27" s="24"/>
      <x:c r="D27" s="26"/>
      <x:c r="E27" s="24"/>
      <x:c r="F27" s="24"/>
      <x:c r="G27" s="24"/>
      <x:c r="H27" s="21"/>
      <x:c r="I27" s="39"/>
      <x:c r="J27" s="40" t="str">
        <x:f>IF(AND(COUNTA(B27:I27)=0),"",IF(OR(AND(NOT(ISBLANK(B27)),OR(NOT(ISNUMBER(B27)),B27&lt;0,B27&gt;24)),AND(NOT(ISBLANK(C27)),IF(ISNUMBER(C27),OR(C27&lt;1,C27&gt;5,MOD(C27,1)&lt;&gt;0),TRUE))),"Lỗi ngủ/mệt",IF(NOT(ISNUMBER(E27)),"Thiếu tổng phút",IF(OR(E27&lt;0,OR(AND(NOT(ISBLANK(F27)),OR(NOT(ISNUMBER(F27)),F27&lt;0)),AND(NOT(ISBLANK(G27)),OR(NOT(ISNUMBER(G27)),G27&lt;0)))),"Lỗi phút",IF(SUM(F27:G27)&gt;E27,"Nghe+nói vượt tổng",IF(AND(D27&lt;&gt;"Nghỉ",D27&lt;&gt;"Kiệt sức",D27&lt;&gt;"Bình thường",D27&lt;&gt;"Đủ sức"),"Thiếu chế độ",IF(AND(LEN(I27)&gt;0,COUNTIF($I$63:$I$69,I27)=0),"Lỗi mã","Hợp lệ")))))))</x:f>
      </x:c>
      <x:c r="K27" s="40" t="n">
        <x:f>IF(AND(ISNUMBER(B27),B27&gt;=0,B27&lt;=24),1,0)</x:f>
        <x:v>0</x:v>
      </x:c>
      <x:c r="L27" s="40" t="n">
        <x:f>IF(ISNUMBER(C27),IF(AND(C27&gt;=1,C27&lt;=5,MOD(C27,1)=0),1,0),0)</x:f>
        <x:v>0</x:v>
      </x:c>
      <x:c r="M27" s="40" t="n">
        <x:f>IF(AND(J27="Hợp lệ",ISNUMBER(F27)),1,0)</x:f>
        <x:v>0</x:v>
      </x:c>
      <x:c r="N27" s="40" t="n">
        <x:f>IF(AND(J27="Hợp lệ",ISNUMBER(G27)),1,0)</x:f>
        <x:v>0</x:v>
      </x:c>
      <x:c r="O27" s="40" t="n">
        <x:f>IF(J27="Hợp lệ",1,0)</x:f>
        <x:v>0</x:v>
      </x:c>
    </x:row>
    <x:row r="28" ht="25" customHeight="1">
      <x:c r="A28" s="22" t="n">
        <x:v>46330</x:v>
      </x:c>
      <x:c r="B28" s="23"/>
      <x:c r="C28" s="24"/>
      <x:c r="D28" s="26"/>
      <x:c r="E28" s="24"/>
      <x:c r="F28" s="24"/>
      <x:c r="G28" s="24"/>
      <x:c r="H28" s="21"/>
      <x:c r="I28" s="39"/>
      <x:c r="J28" s="40" t="str">
        <x:f>IF(AND(COUNTA(B28:I28)=0),"",IF(OR(AND(NOT(ISBLANK(B28)),OR(NOT(ISNUMBER(B28)),B28&lt;0,B28&gt;24)),AND(NOT(ISBLANK(C28)),IF(ISNUMBER(C28),OR(C28&lt;1,C28&gt;5,MOD(C28,1)&lt;&gt;0),TRUE))),"Lỗi ngủ/mệt",IF(NOT(ISNUMBER(E28)),"Thiếu tổng phút",IF(OR(E28&lt;0,OR(AND(NOT(ISBLANK(F28)),OR(NOT(ISNUMBER(F28)),F28&lt;0)),AND(NOT(ISBLANK(G28)),OR(NOT(ISNUMBER(G28)),G28&lt;0)))),"Lỗi phút",IF(SUM(F28:G28)&gt;E28,"Nghe+nói vượt tổng",IF(AND(D28&lt;&gt;"Nghỉ",D28&lt;&gt;"Kiệt sức",D28&lt;&gt;"Bình thường",D28&lt;&gt;"Đủ sức"),"Thiếu chế độ",IF(AND(LEN(I28)&gt;0,COUNTIF($I$63:$I$69,I28)=0),"Lỗi mã","Hợp lệ")))))))</x:f>
      </x:c>
      <x:c r="K28" s="40" t="n">
        <x:f>IF(AND(ISNUMBER(B28),B28&gt;=0,B28&lt;=24),1,0)</x:f>
        <x:v>0</x:v>
      </x:c>
      <x:c r="L28" s="40" t="n">
        <x:f>IF(ISNUMBER(C28),IF(AND(C28&gt;=1,C28&lt;=5,MOD(C28,1)=0),1,0),0)</x:f>
        <x:v>0</x:v>
      </x:c>
      <x:c r="M28" s="40" t="n">
        <x:f>IF(AND(J28="Hợp lệ",ISNUMBER(F28)),1,0)</x:f>
        <x:v>0</x:v>
      </x:c>
      <x:c r="N28" s="40" t="n">
        <x:f>IF(AND(J28="Hợp lệ",ISNUMBER(G28)),1,0)</x:f>
        <x:v>0</x:v>
      </x:c>
      <x:c r="O28" s="40" t="n">
        <x:f>IF(J28="Hợp lệ",1,0)</x:f>
        <x:v>0</x:v>
      </x:c>
    </x:row>
    <x:row r="29" ht="25" customHeight="1">
      <x:c r="A29" s="22" t="n">
        <x:v>46331</x:v>
      </x:c>
      <x:c r="B29" s="23"/>
      <x:c r="C29" s="24"/>
      <x:c r="D29" s="26"/>
      <x:c r="E29" s="24"/>
      <x:c r="F29" s="24"/>
      <x:c r="G29" s="24"/>
      <x:c r="H29" s="21"/>
      <x:c r="I29" s="39"/>
      <x:c r="J29" s="40" t="str">
        <x:f>IF(AND(COUNTA(B29:I29)=0),"",IF(OR(AND(NOT(ISBLANK(B29)),OR(NOT(ISNUMBER(B29)),B29&lt;0,B29&gt;24)),AND(NOT(ISBLANK(C29)),IF(ISNUMBER(C29),OR(C29&lt;1,C29&gt;5,MOD(C29,1)&lt;&gt;0),TRUE))),"Lỗi ngủ/mệt",IF(NOT(ISNUMBER(E29)),"Thiếu tổng phút",IF(OR(E29&lt;0,OR(AND(NOT(ISBLANK(F29)),OR(NOT(ISNUMBER(F29)),F29&lt;0)),AND(NOT(ISBLANK(G29)),OR(NOT(ISNUMBER(G29)),G29&lt;0)))),"Lỗi phút",IF(SUM(F29:G29)&gt;E29,"Nghe+nói vượt tổng",IF(AND(D29&lt;&gt;"Nghỉ",D29&lt;&gt;"Kiệt sức",D29&lt;&gt;"Bình thường",D29&lt;&gt;"Đủ sức"),"Thiếu chế độ",IF(AND(LEN(I29)&gt;0,COUNTIF($I$63:$I$69,I29)=0),"Lỗi mã","Hợp lệ")))))))</x:f>
      </x:c>
      <x:c r="K29" s="40" t="n">
        <x:f>IF(AND(ISNUMBER(B29),B29&gt;=0,B29&lt;=24),1,0)</x:f>
        <x:v>0</x:v>
      </x:c>
      <x:c r="L29" s="40" t="n">
        <x:f>IF(ISNUMBER(C29),IF(AND(C29&gt;=1,C29&lt;=5,MOD(C29,1)=0),1,0),0)</x:f>
        <x:v>0</x:v>
      </x:c>
      <x:c r="M29" s="40" t="n">
        <x:f>IF(AND(J29="Hợp lệ",ISNUMBER(F29)),1,0)</x:f>
        <x:v>0</x:v>
      </x:c>
      <x:c r="N29" s="40" t="n">
        <x:f>IF(AND(J29="Hợp lệ",ISNUMBER(G29)),1,0)</x:f>
        <x:v>0</x:v>
      </x:c>
      <x:c r="O29" s="40" t="n">
        <x:f>IF(J29="Hợp lệ",1,0)</x:f>
        <x:v>0</x:v>
      </x:c>
    </x:row>
    <x:row r="30" ht="25" customHeight="1">
      <x:c r="A30" s="22" t="n">
        <x:v>46332</x:v>
      </x:c>
      <x:c r="B30" s="23"/>
      <x:c r="C30" s="24"/>
      <x:c r="D30" s="26"/>
      <x:c r="E30" s="24"/>
      <x:c r="F30" s="24"/>
      <x:c r="G30" s="24"/>
      <x:c r="H30" s="21"/>
      <x:c r="I30" s="39"/>
      <x:c r="J30" s="40" t="str">
        <x:f>IF(AND(COUNTA(B30:I30)=0),"",IF(OR(AND(NOT(ISBLANK(B30)),OR(NOT(ISNUMBER(B30)),B30&lt;0,B30&gt;24)),AND(NOT(ISBLANK(C30)),IF(ISNUMBER(C30),OR(C30&lt;1,C30&gt;5,MOD(C30,1)&lt;&gt;0),TRUE))),"Lỗi ngủ/mệt",IF(NOT(ISNUMBER(E30)),"Thiếu tổng phút",IF(OR(E30&lt;0,OR(AND(NOT(ISBLANK(F30)),OR(NOT(ISNUMBER(F30)),F30&lt;0)),AND(NOT(ISBLANK(G30)),OR(NOT(ISNUMBER(G30)),G30&lt;0)))),"Lỗi phút",IF(SUM(F30:G30)&gt;E30,"Nghe+nói vượt tổng",IF(AND(D30&lt;&gt;"Nghỉ",D30&lt;&gt;"Kiệt sức",D30&lt;&gt;"Bình thường",D30&lt;&gt;"Đủ sức"),"Thiếu chế độ",IF(AND(LEN(I30)&gt;0,COUNTIF($I$63:$I$69,I30)=0),"Lỗi mã","Hợp lệ")))))))</x:f>
      </x:c>
      <x:c r="K30" s="40" t="n">
        <x:f>IF(AND(ISNUMBER(B30),B30&gt;=0,B30&lt;=24),1,0)</x:f>
        <x:v>0</x:v>
      </x:c>
      <x:c r="L30" s="40" t="n">
        <x:f>IF(ISNUMBER(C30),IF(AND(C30&gt;=1,C30&lt;=5,MOD(C30,1)=0),1,0),0)</x:f>
        <x:v>0</x:v>
      </x:c>
      <x:c r="M30" s="40" t="n">
        <x:f>IF(AND(J30="Hợp lệ",ISNUMBER(F30)),1,0)</x:f>
        <x:v>0</x:v>
      </x:c>
      <x:c r="N30" s="40" t="n">
        <x:f>IF(AND(J30="Hợp lệ",ISNUMBER(G30)),1,0)</x:f>
        <x:v>0</x:v>
      </x:c>
      <x:c r="O30" s="40" t="n">
        <x:f>IF(J30="Hợp lệ",1,0)</x:f>
        <x:v>0</x:v>
      </x:c>
    </x:row>
    <x:row r="31" ht="25" customHeight="1">
      <x:c r="A31" s="22" t="n">
        <x:v>46333</x:v>
      </x:c>
      <x:c r="B31" s="23"/>
      <x:c r="C31" s="24"/>
      <x:c r="D31" s="26"/>
      <x:c r="E31" s="24"/>
      <x:c r="F31" s="24"/>
      <x:c r="G31" s="24"/>
      <x:c r="H31" s="21"/>
      <x:c r="I31" s="39"/>
      <x:c r="J31" s="40" t="str">
        <x:f>IF(AND(COUNTA(B31:I31)=0),"",IF(OR(AND(NOT(ISBLANK(B31)),OR(NOT(ISNUMBER(B31)),B31&lt;0,B31&gt;24)),AND(NOT(ISBLANK(C31)),IF(ISNUMBER(C31),OR(C31&lt;1,C31&gt;5,MOD(C31,1)&lt;&gt;0),TRUE))),"Lỗi ngủ/mệt",IF(NOT(ISNUMBER(E31)),"Thiếu tổng phút",IF(OR(E31&lt;0,OR(AND(NOT(ISBLANK(F31)),OR(NOT(ISNUMBER(F31)),F31&lt;0)),AND(NOT(ISBLANK(G31)),OR(NOT(ISNUMBER(G31)),G31&lt;0)))),"Lỗi phút",IF(SUM(F31:G31)&gt;E31,"Nghe+nói vượt tổng",IF(AND(D31&lt;&gt;"Nghỉ",D31&lt;&gt;"Kiệt sức",D31&lt;&gt;"Bình thường",D31&lt;&gt;"Đủ sức"),"Thiếu chế độ",IF(AND(LEN(I31)&gt;0,COUNTIF($I$63:$I$69,I31)=0),"Lỗi mã","Hợp lệ")))))))</x:f>
      </x:c>
      <x:c r="K31" s="40" t="n">
        <x:f>IF(AND(ISNUMBER(B31),B31&gt;=0,B31&lt;=24),1,0)</x:f>
        <x:v>0</x:v>
      </x:c>
      <x:c r="L31" s="40" t="n">
        <x:f>IF(ISNUMBER(C31),IF(AND(C31&gt;=1,C31&lt;=5,MOD(C31,1)=0),1,0),0)</x:f>
        <x:v>0</x:v>
      </x:c>
      <x:c r="M31" s="40" t="n">
        <x:f>IF(AND(J31="Hợp lệ",ISNUMBER(F31)),1,0)</x:f>
        <x:v>0</x:v>
      </x:c>
      <x:c r="N31" s="40" t="n">
        <x:f>IF(AND(J31="Hợp lệ",ISNUMBER(G31)),1,0)</x:f>
        <x:v>0</x:v>
      </x:c>
      <x:c r="O31" s="40" t="n">
        <x:f>IF(J31="Hợp lệ",1,0)</x:f>
        <x:v>0</x:v>
      </x:c>
    </x:row>
    <x:row r="32" ht="25" customHeight="1">
      <x:c r="A32" s="22" t="n">
        <x:v>46334</x:v>
      </x:c>
      <x:c r="B32" s="23"/>
      <x:c r="C32" s="24"/>
      <x:c r="D32" s="26"/>
      <x:c r="E32" s="24"/>
      <x:c r="F32" s="24"/>
      <x:c r="G32" s="24"/>
      <x:c r="H32" s="21"/>
      <x:c r="I32" s="39"/>
      <x:c r="J32" s="40" t="str">
        <x:f>IF(AND(COUNTA(B32:I32)=0),"",IF(OR(AND(NOT(ISBLANK(B32)),OR(NOT(ISNUMBER(B32)),B32&lt;0,B32&gt;24)),AND(NOT(ISBLANK(C32)),IF(ISNUMBER(C32),OR(C32&lt;1,C32&gt;5,MOD(C32,1)&lt;&gt;0),TRUE))),"Lỗi ngủ/mệt",IF(NOT(ISNUMBER(E32)),"Thiếu tổng phút",IF(OR(E32&lt;0,OR(AND(NOT(ISBLANK(F32)),OR(NOT(ISNUMBER(F32)),F32&lt;0)),AND(NOT(ISBLANK(G32)),OR(NOT(ISNUMBER(G32)),G32&lt;0)))),"Lỗi phút",IF(SUM(F32:G32)&gt;E32,"Nghe+nói vượt tổng",IF(AND(D32&lt;&gt;"Nghỉ",D32&lt;&gt;"Kiệt sức",D32&lt;&gt;"Bình thường",D32&lt;&gt;"Đủ sức"),"Thiếu chế độ",IF(AND(LEN(I32)&gt;0,COUNTIF($I$63:$I$69,I32)=0),"Lỗi mã","Hợp lệ")))))))</x:f>
      </x:c>
      <x:c r="K32" s="40" t="n">
        <x:f>IF(AND(ISNUMBER(B32),B32&gt;=0,B32&lt;=24),1,0)</x:f>
        <x:v>0</x:v>
      </x:c>
      <x:c r="L32" s="40" t="n">
        <x:f>IF(ISNUMBER(C32),IF(AND(C32&gt;=1,C32&lt;=5,MOD(C32,1)=0),1,0),0)</x:f>
        <x:v>0</x:v>
      </x:c>
      <x:c r="M32" s="40" t="n">
        <x:f>IF(AND(J32="Hợp lệ",ISNUMBER(F32)),1,0)</x:f>
        <x:v>0</x:v>
      </x:c>
      <x:c r="N32" s="40" t="n">
        <x:f>IF(AND(J32="Hợp lệ",ISNUMBER(G32)),1,0)</x:f>
        <x:v>0</x:v>
      </x:c>
      <x:c r="O32" s="40" t="n">
        <x:f>IF(J32="Hợp lệ",1,0)</x:f>
        <x:v>0</x:v>
      </x:c>
    </x:row>
    <x:row r="33" ht="25" customHeight="1">
      <x:c r="A33" s="22" t="n">
        <x:v>46335</x:v>
      </x:c>
      <x:c r="B33" s="23"/>
      <x:c r="C33" s="24"/>
      <x:c r="D33" s="26"/>
      <x:c r="E33" s="24"/>
      <x:c r="F33" s="24"/>
      <x:c r="G33" s="24"/>
      <x:c r="H33" s="21"/>
      <x:c r="I33" s="39"/>
      <x:c r="J33" s="40" t="str">
        <x:f>IF(AND(COUNTA(B33:I33)=0),"",IF(OR(AND(NOT(ISBLANK(B33)),OR(NOT(ISNUMBER(B33)),B33&lt;0,B33&gt;24)),AND(NOT(ISBLANK(C33)),IF(ISNUMBER(C33),OR(C33&lt;1,C33&gt;5,MOD(C33,1)&lt;&gt;0),TRUE))),"Lỗi ngủ/mệt",IF(NOT(ISNUMBER(E33)),"Thiếu tổng phút",IF(OR(E33&lt;0,OR(AND(NOT(ISBLANK(F33)),OR(NOT(ISNUMBER(F33)),F33&lt;0)),AND(NOT(ISBLANK(G33)),OR(NOT(ISNUMBER(G33)),G33&lt;0)))),"Lỗi phút",IF(SUM(F33:G33)&gt;E33,"Nghe+nói vượt tổng",IF(AND(D33&lt;&gt;"Nghỉ",D33&lt;&gt;"Kiệt sức",D33&lt;&gt;"Bình thường",D33&lt;&gt;"Đủ sức"),"Thiếu chế độ",IF(AND(LEN(I33)&gt;0,COUNTIF($I$63:$I$69,I33)=0),"Lỗi mã","Hợp lệ")))))))</x:f>
      </x:c>
      <x:c r="K33" s="40" t="n">
        <x:f>IF(AND(ISNUMBER(B33),B33&gt;=0,B33&lt;=24),1,0)</x:f>
        <x:v>0</x:v>
      </x:c>
      <x:c r="L33" s="40" t="n">
        <x:f>IF(ISNUMBER(C33),IF(AND(C33&gt;=1,C33&lt;=5,MOD(C33,1)=0),1,0),0)</x:f>
        <x:v>0</x:v>
      </x:c>
      <x:c r="M33" s="40" t="n">
        <x:f>IF(AND(J33="Hợp lệ",ISNUMBER(F33)),1,0)</x:f>
        <x:v>0</x:v>
      </x:c>
      <x:c r="N33" s="40" t="n">
        <x:f>IF(AND(J33="Hợp lệ",ISNUMBER(G33)),1,0)</x:f>
        <x:v>0</x:v>
      </x:c>
      <x:c r="O33" s="40" t="n">
        <x:f>IF(J33="Hợp lệ",1,0)</x:f>
        <x:v>0</x:v>
      </x:c>
    </x:row>
    <x:row r="34" ht="25" customHeight="1">
      <x:c r="A34" s="22" t="n">
        <x:v>46336</x:v>
      </x:c>
      <x:c r="B34" s="23"/>
      <x:c r="C34" s="24"/>
      <x:c r="D34" s="26"/>
      <x:c r="E34" s="24"/>
      <x:c r="F34" s="24"/>
      <x:c r="G34" s="24"/>
      <x:c r="H34" s="21"/>
      <x:c r="I34" s="39"/>
      <x:c r="J34" s="40" t="str">
        <x:f>IF(AND(COUNTA(B34:I34)=0),"",IF(OR(AND(NOT(ISBLANK(B34)),OR(NOT(ISNUMBER(B34)),B34&lt;0,B34&gt;24)),AND(NOT(ISBLANK(C34)),IF(ISNUMBER(C34),OR(C34&lt;1,C34&gt;5,MOD(C34,1)&lt;&gt;0),TRUE))),"Lỗi ngủ/mệt",IF(NOT(ISNUMBER(E34)),"Thiếu tổng phút",IF(OR(E34&lt;0,OR(AND(NOT(ISBLANK(F34)),OR(NOT(ISNUMBER(F34)),F34&lt;0)),AND(NOT(ISBLANK(G34)),OR(NOT(ISNUMBER(G34)),G34&lt;0)))),"Lỗi phút",IF(SUM(F34:G34)&gt;E34,"Nghe+nói vượt tổng",IF(AND(D34&lt;&gt;"Nghỉ",D34&lt;&gt;"Kiệt sức",D34&lt;&gt;"Bình thường",D34&lt;&gt;"Đủ sức"),"Thiếu chế độ",IF(AND(LEN(I34)&gt;0,COUNTIF($I$63:$I$69,I34)=0),"Lỗi mã","Hợp lệ")))))))</x:f>
      </x:c>
      <x:c r="K34" s="40" t="n">
        <x:f>IF(AND(ISNUMBER(B34),B34&gt;=0,B34&lt;=24),1,0)</x:f>
        <x:v>0</x:v>
      </x:c>
      <x:c r="L34" s="40" t="n">
        <x:f>IF(ISNUMBER(C34),IF(AND(C34&gt;=1,C34&lt;=5,MOD(C34,1)=0),1,0),0)</x:f>
        <x:v>0</x:v>
      </x:c>
      <x:c r="M34" s="40" t="n">
        <x:f>IF(AND(J34="Hợp lệ",ISNUMBER(F34)),1,0)</x:f>
        <x:v>0</x:v>
      </x:c>
      <x:c r="N34" s="40" t="n">
        <x:f>IF(AND(J34="Hợp lệ",ISNUMBER(G34)),1,0)</x:f>
        <x:v>0</x:v>
      </x:c>
      <x:c r="O34" s="40" t="n">
        <x:f>IF(J34="Hợp lệ",1,0)</x:f>
        <x:v>0</x:v>
      </x:c>
    </x:row>
    <x:row r="35" ht="25" customHeight="1">
      <x:c r="A35" s="22" t="n">
        <x:v>46337</x:v>
      </x:c>
      <x:c r="B35" s="23"/>
      <x:c r="C35" s="24"/>
      <x:c r="D35" s="26"/>
      <x:c r="E35" s="24"/>
      <x:c r="F35" s="24"/>
      <x:c r="G35" s="24"/>
      <x:c r="H35" s="21"/>
      <x:c r="I35" s="39"/>
      <x:c r="J35" s="40" t="str">
        <x:f>IF(AND(COUNTA(B35:I35)=0),"",IF(OR(AND(NOT(ISBLANK(B35)),OR(NOT(ISNUMBER(B35)),B35&lt;0,B35&gt;24)),AND(NOT(ISBLANK(C35)),IF(ISNUMBER(C35),OR(C35&lt;1,C35&gt;5,MOD(C35,1)&lt;&gt;0),TRUE))),"Lỗi ngủ/mệt",IF(NOT(ISNUMBER(E35)),"Thiếu tổng phút",IF(OR(E35&lt;0,OR(AND(NOT(ISBLANK(F35)),OR(NOT(ISNUMBER(F35)),F35&lt;0)),AND(NOT(ISBLANK(G35)),OR(NOT(ISNUMBER(G35)),G35&lt;0)))),"Lỗi phút",IF(SUM(F35:G35)&gt;E35,"Nghe+nói vượt tổng",IF(AND(D35&lt;&gt;"Nghỉ",D35&lt;&gt;"Kiệt sức",D35&lt;&gt;"Bình thường",D35&lt;&gt;"Đủ sức"),"Thiếu chế độ",IF(AND(LEN(I35)&gt;0,COUNTIF($I$63:$I$69,I35)=0),"Lỗi mã","Hợp lệ")))))))</x:f>
      </x:c>
      <x:c r="K35" s="40" t="n">
        <x:f>IF(AND(ISNUMBER(B35),B35&gt;=0,B35&lt;=24),1,0)</x:f>
        <x:v>0</x:v>
      </x:c>
      <x:c r="L35" s="40" t="n">
        <x:f>IF(ISNUMBER(C35),IF(AND(C35&gt;=1,C35&lt;=5,MOD(C35,1)=0),1,0),0)</x:f>
        <x:v>0</x:v>
      </x:c>
      <x:c r="M35" s="40" t="n">
        <x:f>IF(AND(J35="Hợp lệ",ISNUMBER(F35)),1,0)</x:f>
        <x:v>0</x:v>
      </x:c>
      <x:c r="N35" s="40" t="n">
        <x:f>IF(AND(J35="Hợp lệ",ISNUMBER(G35)),1,0)</x:f>
        <x:v>0</x:v>
      </x:c>
      <x:c r="O35" s="40" t="n">
        <x:f>IF(J35="Hợp lệ",1,0)</x:f>
        <x:v>0</x:v>
      </x:c>
    </x:row>
    <x:row r="36" ht="25" customHeight="1">
      <x:c r="A36" s="22" t="n">
        <x:v>46338</x:v>
      </x:c>
      <x:c r="B36" s="23"/>
      <x:c r="C36" s="24"/>
      <x:c r="D36" s="26"/>
      <x:c r="E36" s="24"/>
      <x:c r="F36" s="24"/>
      <x:c r="G36" s="24"/>
      <x:c r="H36" s="21"/>
      <x:c r="I36" s="39"/>
      <x:c r="J36" s="40" t="str">
        <x:f>IF(AND(COUNTA(B36:I36)=0),"",IF(OR(AND(NOT(ISBLANK(B36)),OR(NOT(ISNUMBER(B36)),B36&lt;0,B36&gt;24)),AND(NOT(ISBLANK(C36)),IF(ISNUMBER(C36),OR(C36&lt;1,C36&gt;5,MOD(C36,1)&lt;&gt;0),TRUE))),"Lỗi ngủ/mệt",IF(NOT(ISNUMBER(E36)),"Thiếu tổng phút",IF(OR(E36&lt;0,OR(AND(NOT(ISBLANK(F36)),OR(NOT(ISNUMBER(F36)),F36&lt;0)),AND(NOT(ISBLANK(G36)),OR(NOT(ISNUMBER(G36)),G36&lt;0)))),"Lỗi phút",IF(SUM(F36:G36)&gt;E36,"Nghe+nói vượt tổng",IF(AND(D36&lt;&gt;"Nghỉ",D36&lt;&gt;"Kiệt sức",D36&lt;&gt;"Bình thường",D36&lt;&gt;"Đủ sức"),"Thiếu chế độ",IF(AND(LEN(I36)&gt;0,COUNTIF($I$63:$I$69,I36)=0),"Lỗi mã","Hợp lệ")))))))</x:f>
      </x:c>
      <x:c r="K36" s="40" t="n">
        <x:f>IF(AND(ISNUMBER(B36),B36&gt;=0,B36&lt;=24),1,0)</x:f>
        <x:v>0</x:v>
      </x:c>
      <x:c r="L36" s="40" t="n">
        <x:f>IF(ISNUMBER(C36),IF(AND(C36&gt;=1,C36&lt;=5,MOD(C36,1)=0),1,0),0)</x:f>
        <x:v>0</x:v>
      </x:c>
      <x:c r="M36" s="40" t="n">
        <x:f>IF(AND(J36="Hợp lệ",ISNUMBER(F36)),1,0)</x:f>
        <x:v>0</x:v>
      </x:c>
      <x:c r="N36" s="40" t="n">
        <x:f>IF(AND(J36="Hợp lệ",ISNUMBER(G36)),1,0)</x:f>
        <x:v>0</x:v>
      </x:c>
      <x:c r="O36" s="40" t="n">
        <x:f>IF(J36="Hợp lệ",1,0)</x:f>
        <x:v>0</x:v>
      </x:c>
    </x:row>
    <x:row r="37" ht="25" customHeight="1">
      <x:c r="A37" s="22" t="n">
        <x:v>46339</x:v>
      </x:c>
      <x:c r="B37" s="23"/>
      <x:c r="C37" s="24"/>
      <x:c r="D37" s="26"/>
      <x:c r="E37" s="24"/>
      <x:c r="F37" s="24"/>
      <x:c r="G37" s="24"/>
      <x:c r="H37" s="21"/>
      <x:c r="I37" s="39"/>
      <x:c r="J37" s="40" t="str">
        <x:f>IF(AND(COUNTA(B37:I37)=0),"",IF(OR(AND(NOT(ISBLANK(B37)),OR(NOT(ISNUMBER(B37)),B37&lt;0,B37&gt;24)),AND(NOT(ISBLANK(C37)),IF(ISNUMBER(C37),OR(C37&lt;1,C37&gt;5,MOD(C37,1)&lt;&gt;0),TRUE))),"Lỗi ngủ/mệt",IF(NOT(ISNUMBER(E37)),"Thiếu tổng phút",IF(OR(E37&lt;0,OR(AND(NOT(ISBLANK(F37)),OR(NOT(ISNUMBER(F37)),F37&lt;0)),AND(NOT(ISBLANK(G37)),OR(NOT(ISNUMBER(G37)),G37&lt;0)))),"Lỗi phút",IF(SUM(F37:G37)&gt;E37,"Nghe+nói vượt tổng",IF(AND(D37&lt;&gt;"Nghỉ",D37&lt;&gt;"Kiệt sức",D37&lt;&gt;"Bình thường",D37&lt;&gt;"Đủ sức"),"Thiếu chế độ",IF(AND(LEN(I37)&gt;0,COUNTIF($I$63:$I$69,I37)=0),"Lỗi mã","Hợp lệ")))))))</x:f>
      </x:c>
      <x:c r="K37" s="40" t="n">
        <x:f>IF(AND(ISNUMBER(B37),B37&gt;=0,B37&lt;=24),1,0)</x:f>
        <x:v>0</x:v>
      </x:c>
      <x:c r="L37" s="40" t="n">
        <x:f>IF(ISNUMBER(C37),IF(AND(C37&gt;=1,C37&lt;=5,MOD(C37,1)=0),1,0),0)</x:f>
        <x:v>0</x:v>
      </x:c>
      <x:c r="M37" s="40" t="n">
        <x:f>IF(AND(J37="Hợp lệ",ISNUMBER(F37)),1,0)</x:f>
        <x:v>0</x:v>
      </x:c>
      <x:c r="N37" s="40" t="n">
        <x:f>IF(AND(J37="Hợp lệ",ISNUMBER(G37)),1,0)</x:f>
        <x:v>0</x:v>
      </x:c>
      <x:c r="O37" s="40" t="n">
        <x:f>IF(J37="Hợp lệ",1,0)</x:f>
        <x:v>0</x:v>
      </x:c>
    </x:row>
    <x:row r="38" ht="25" customHeight="1">
      <x:c r="A38" s="22" t="n">
        <x:v>46340</x:v>
      </x:c>
      <x:c r="B38" s="23"/>
      <x:c r="C38" s="24"/>
      <x:c r="D38" s="26"/>
      <x:c r="E38" s="24"/>
      <x:c r="F38" s="24"/>
      <x:c r="G38" s="24"/>
      <x:c r="H38" s="21"/>
      <x:c r="I38" s="39"/>
      <x:c r="J38" s="40" t="str">
        <x:f>IF(AND(COUNTA(B38:I38)=0),"",IF(OR(AND(NOT(ISBLANK(B38)),OR(NOT(ISNUMBER(B38)),B38&lt;0,B38&gt;24)),AND(NOT(ISBLANK(C38)),IF(ISNUMBER(C38),OR(C38&lt;1,C38&gt;5,MOD(C38,1)&lt;&gt;0),TRUE))),"Lỗi ngủ/mệt",IF(NOT(ISNUMBER(E38)),"Thiếu tổng phút",IF(OR(E38&lt;0,OR(AND(NOT(ISBLANK(F38)),OR(NOT(ISNUMBER(F38)),F38&lt;0)),AND(NOT(ISBLANK(G38)),OR(NOT(ISNUMBER(G38)),G38&lt;0)))),"Lỗi phút",IF(SUM(F38:G38)&gt;E38,"Nghe+nói vượt tổng",IF(AND(D38&lt;&gt;"Nghỉ",D38&lt;&gt;"Kiệt sức",D38&lt;&gt;"Bình thường",D38&lt;&gt;"Đủ sức"),"Thiếu chế độ",IF(AND(LEN(I38)&gt;0,COUNTIF($I$63:$I$69,I38)=0),"Lỗi mã","Hợp lệ")))))))</x:f>
      </x:c>
      <x:c r="K38" s="40" t="n">
        <x:f>IF(AND(ISNUMBER(B38),B38&gt;=0,B38&lt;=24),1,0)</x:f>
        <x:v>0</x:v>
      </x:c>
      <x:c r="L38" s="40" t="n">
        <x:f>IF(ISNUMBER(C38),IF(AND(C38&gt;=1,C38&lt;=5,MOD(C38,1)=0),1,0),0)</x:f>
        <x:v>0</x:v>
      </x:c>
      <x:c r="M38" s="40" t="n">
        <x:f>IF(AND(J38="Hợp lệ",ISNUMBER(F38)),1,0)</x:f>
        <x:v>0</x:v>
      </x:c>
      <x:c r="N38" s="40" t="n">
        <x:f>IF(AND(J38="Hợp lệ",ISNUMBER(G38)),1,0)</x:f>
        <x:v>0</x:v>
      </x:c>
      <x:c r="O38" s="40" t="n">
        <x:f>IF(J38="Hợp lệ",1,0)</x:f>
        <x:v>0</x:v>
      </x:c>
    </x:row>
    <x:row r="39" ht="25" customHeight="1">
      <x:c r="A39" s="22" t="n">
        <x:v>46341</x:v>
      </x:c>
      <x:c r="B39" s="23"/>
      <x:c r="C39" s="24"/>
      <x:c r="D39" s="26"/>
      <x:c r="E39" s="24"/>
      <x:c r="F39" s="24"/>
      <x:c r="G39" s="24"/>
      <x:c r="H39" s="21"/>
      <x:c r="I39" s="39"/>
      <x:c r="J39" s="40" t="str">
        <x:f>IF(AND(COUNTA(B39:I39)=0),"",IF(OR(AND(NOT(ISBLANK(B39)),OR(NOT(ISNUMBER(B39)),B39&lt;0,B39&gt;24)),AND(NOT(ISBLANK(C39)),IF(ISNUMBER(C39),OR(C39&lt;1,C39&gt;5,MOD(C39,1)&lt;&gt;0),TRUE))),"Lỗi ngủ/mệt",IF(NOT(ISNUMBER(E39)),"Thiếu tổng phút",IF(OR(E39&lt;0,OR(AND(NOT(ISBLANK(F39)),OR(NOT(ISNUMBER(F39)),F39&lt;0)),AND(NOT(ISBLANK(G39)),OR(NOT(ISNUMBER(G39)),G39&lt;0)))),"Lỗi phút",IF(SUM(F39:G39)&gt;E39,"Nghe+nói vượt tổng",IF(AND(D39&lt;&gt;"Nghỉ",D39&lt;&gt;"Kiệt sức",D39&lt;&gt;"Bình thường",D39&lt;&gt;"Đủ sức"),"Thiếu chế độ",IF(AND(LEN(I39)&gt;0,COUNTIF($I$63:$I$69,I39)=0),"Lỗi mã","Hợp lệ")))))))</x:f>
      </x:c>
      <x:c r="K39" s="40" t="n">
        <x:f>IF(AND(ISNUMBER(B39),B39&gt;=0,B39&lt;=24),1,0)</x:f>
        <x:v>0</x:v>
      </x:c>
      <x:c r="L39" s="40" t="n">
        <x:f>IF(ISNUMBER(C39),IF(AND(C39&gt;=1,C39&lt;=5,MOD(C39,1)=0),1,0),0)</x:f>
        <x:v>0</x:v>
      </x:c>
      <x:c r="M39" s="40" t="n">
        <x:f>IF(AND(J39="Hợp lệ",ISNUMBER(F39)),1,0)</x:f>
        <x:v>0</x:v>
      </x:c>
      <x:c r="N39" s="40" t="n">
        <x:f>IF(AND(J39="Hợp lệ",ISNUMBER(G39)),1,0)</x:f>
        <x:v>0</x:v>
      </x:c>
      <x:c r="O39" s="40" t="n">
        <x:f>IF(J39="Hợp lệ",1,0)</x:f>
        <x:v>0</x:v>
      </x:c>
    </x:row>
    <x:row r="40" ht="25" customHeight="1">
      <x:c r="A40" s="22" t="n">
        <x:v>46342</x:v>
      </x:c>
      <x:c r="B40" s="23"/>
      <x:c r="C40" s="24"/>
      <x:c r="D40" s="26"/>
      <x:c r="E40" s="24"/>
      <x:c r="F40" s="24"/>
      <x:c r="G40" s="24"/>
      <x:c r="H40" s="21"/>
      <x:c r="I40" s="39"/>
      <x:c r="J40" s="40" t="str">
        <x:f>IF(AND(COUNTA(B40:I40)=0),"",IF(OR(AND(NOT(ISBLANK(B40)),OR(NOT(ISNUMBER(B40)),B40&lt;0,B40&gt;24)),AND(NOT(ISBLANK(C40)),IF(ISNUMBER(C40),OR(C40&lt;1,C40&gt;5,MOD(C40,1)&lt;&gt;0),TRUE))),"Lỗi ngủ/mệt",IF(NOT(ISNUMBER(E40)),"Thiếu tổng phút",IF(OR(E40&lt;0,OR(AND(NOT(ISBLANK(F40)),OR(NOT(ISNUMBER(F40)),F40&lt;0)),AND(NOT(ISBLANK(G40)),OR(NOT(ISNUMBER(G40)),G40&lt;0)))),"Lỗi phút",IF(SUM(F40:G40)&gt;E40,"Nghe+nói vượt tổng",IF(AND(D40&lt;&gt;"Nghỉ",D40&lt;&gt;"Kiệt sức",D40&lt;&gt;"Bình thường",D40&lt;&gt;"Đủ sức"),"Thiếu chế độ",IF(AND(LEN(I40)&gt;0,COUNTIF($I$63:$I$69,I40)=0),"Lỗi mã","Hợp lệ")))))))</x:f>
      </x:c>
      <x:c r="K40" s="40" t="n">
        <x:f>IF(AND(ISNUMBER(B40),B40&gt;=0,B40&lt;=24),1,0)</x:f>
        <x:v>0</x:v>
      </x:c>
      <x:c r="L40" s="40" t="n">
        <x:f>IF(ISNUMBER(C40),IF(AND(C40&gt;=1,C40&lt;=5,MOD(C40,1)=0),1,0),0)</x:f>
        <x:v>0</x:v>
      </x:c>
      <x:c r="M40" s="40" t="n">
        <x:f>IF(AND(J40="Hợp lệ",ISNUMBER(F40)),1,0)</x:f>
        <x:v>0</x:v>
      </x:c>
      <x:c r="N40" s="40" t="n">
        <x:f>IF(AND(J40="Hợp lệ",ISNUMBER(G40)),1,0)</x:f>
        <x:v>0</x:v>
      </x:c>
      <x:c r="O40" s="40" t="n">
        <x:f>IF(J40="Hợp lệ",1,0)</x:f>
        <x:v>0</x:v>
      </x:c>
    </x:row>
    <x:row r="41" ht="25" customHeight="1">
      <x:c r="A41" s="22" t="n">
        <x:v>46343</x:v>
      </x:c>
      <x:c r="B41" s="23"/>
      <x:c r="C41" s="24"/>
      <x:c r="D41" s="26"/>
      <x:c r="E41" s="24"/>
      <x:c r="F41" s="24"/>
      <x:c r="G41" s="24"/>
      <x:c r="H41" s="21"/>
      <x:c r="I41" s="39"/>
      <x:c r="J41" s="40" t="str">
        <x:f>IF(AND(COUNTA(B41:I41)=0),"",IF(OR(AND(NOT(ISBLANK(B41)),OR(NOT(ISNUMBER(B41)),B41&lt;0,B41&gt;24)),AND(NOT(ISBLANK(C41)),IF(ISNUMBER(C41),OR(C41&lt;1,C41&gt;5,MOD(C41,1)&lt;&gt;0),TRUE))),"Lỗi ngủ/mệt",IF(NOT(ISNUMBER(E41)),"Thiếu tổng phút",IF(OR(E41&lt;0,OR(AND(NOT(ISBLANK(F41)),OR(NOT(ISNUMBER(F41)),F41&lt;0)),AND(NOT(ISBLANK(G41)),OR(NOT(ISNUMBER(G41)),G41&lt;0)))),"Lỗi phút",IF(SUM(F41:G41)&gt;E41,"Nghe+nói vượt tổng",IF(AND(D41&lt;&gt;"Nghỉ",D41&lt;&gt;"Kiệt sức",D41&lt;&gt;"Bình thường",D41&lt;&gt;"Đủ sức"),"Thiếu chế độ",IF(AND(LEN(I41)&gt;0,COUNTIF($I$63:$I$69,I41)=0),"Lỗi mã","Hợp lệ")))))))</x:f>
      </x:c>
      <x:c r="K41" s="40" t="n">
        <x:f>IF(AND(ISNUMBER(B41),B41&gt;=0,B41&lt;=24),1,0)</x:f>
        <x:v>0</x:v>
      </x:c>
      <x:c r="L41" s="40" t="n">
        <x:f>IF(ISNUMBER(C41),IF(AND(C41&gt;=1,C41&lt;=5,MOD(C41,1)=0),1,0),0)</x:f>
        <x:v>0</x:v>
      </x:c>
      <x:c r="M41" s="40" t="n">
        <x:f>IF(AND(J41="Hợp lệ",ISNUMBER(F41)),1,0)</x:f>
        <x:v>0</x:v>
      </x:c>
      <x:c r="N41" s="40" t="n">
        <x:f>IF(AND(J41="Hợp lệ",ISNUMBER(G41)),1,0)</x:f>
        <x:v>0</x:v>
      </x:c>
      <x:c r="O41" s="40" t="n">
        <x:f>IF(J41="Hợp lệ",1,0)</x:f>
        <x:v>0</x:v>
      </x:c>
    </x:row>
    <x:row r="42" ht="25" customHeight="1">
      <x:c r="A42" s="22" t="n">
        <x:v>46344</x:v>
      </x:c>
      <x:c r="B42" s="23"/>
      <x:c r="C42" s="24"/>
      <x:c r="D42" s="26"/>
      <x:c r="E42" s="24"/>
      <x:c r="F42" s="24"/>
      <x:c r="G42" s="24"/>
      <x:c r="H42" s="21"/>
      <x:c r="I42" s="39"/>
      <x:c r="J42" s="40" t="str">
        <x:f>IF(AND(COUNTA(B42:I42)=0),"",IF(OR(AND(NOT(ISBLANK(B42)),OR(NOT(ISNUMBER(B42)),B42&lt;0,B42&gt;24)),AND(NOT(ISBLANK(C42)),IF(ISNUMBER(C42),OR(C42&lt;1,C42&gt;5,MOD(C42,1)&lt;&gt;0),TRUE))),"Lỗi ngủ/mệt",IF(NOT(ISNUMBER(E42)),"Thiếu tổng phút",IF(OR(E42&lt;0,OR(AND(NOT(ISBLANK(F42)),OR(NOT(ISNUMBER(F42)),F42&lt;0)),AND(NOT(ISBLANK(G42)),OR(NOT(ISNUMBER(G42)),G42&lt;0)))),"Lỗi phút",IF(SUM(F42:G42)&gt;E42,"Nghe+nói vượt tổng",IF(AND(D42&lt;&gt;"Nghỉ",D42&lt;&gt;"Kiệt sức",D42&lt;&gt;"Bình thường",D42&lt;&gt;"Đủ sức"),"Thiếu chế độ",IF(AND(LEN(I42)&gt;0,COUNTIF($I$63:$I$69,I42)=0),"Lỗi mã","Hợp lệ")))))))</x:f>
      </x:c>
      <x:c r="K42" s="40" t="n">
        <x:f>IF(AND(ISNUMBER(B42),B42&gt;=0,B42&lt;=24),1,0)</x:f>
        <x:v>0</x:v>
      </x:c>
      <x:c r="L42" s="40" t="n">
        <x:f>IF(ISNUMBER(C42),IF(AND(C42&gt;=1,C42&lt;=5,MOD(C42,1)=0),1,0),0)</x:f>
        <x:v>0</x:v>
      </x:c>
      <x:c r="M42" s="40" t="n">
        <x:f>IF(AND(J42="Hợp lệ",ISNUMBER(F42)),1,0)</x:f>
        <x:v>0</x:v>
      </x:c>
      <x:c r="N42" s="40" t="n">
        <x:f>IF(AND(J42="Hợp lệ",ISNUMBER(G42)),1,0)</x:f>
        <x:v>0</x:v>
      </x:c>
      <x:c r="O42" s="40" t="n">
        <x:f>IF(J42="Hợp lệ",1,0)</x:f>
        <x:v>0</x:v>
      </x:c>
    </x:row>
    <x:row r="43" ht="25" customHeight="1">
      <x:c r="A43" s="22" t="n">
        <x:v>46345</x:v>
      </x:c>
      <x:c r="B43" s="23"/>
      <x:c r="C43" s="24"/>
      <x:c r="D43" s="26"/>
      <x:c r="E43" s="24"/>
      <x:c r="F43" s="24"/>
      <x:c r="G43" s="24"/>
      <x:c r="H43" s="21"/>
      <x:c r="I43" s="39"/>
      <x:c r="J43" s="40" t="str">
        <x:f>IF(AND(COUNTA(B43:I43)=0),"",IF(OR(AND(NOT(ISBLANK(B43)),OR(NOT(ISNUMBER(B43)),B43&lt;0,B43&gt;24)),AND(NOT(ISBLANK(C43)),IF(ISNUMBER(C43),OR(C43&lt;1,C43&gt;5,MOD(C43,1)&lt;&gt;0),TRUE))),"Lỗi ngủ/mệt",IF(NOT(ISNUMBER(E43)),"Thiếu tổng phút",IF(OR(E43&lt;0,OR(AND(NOT(ISBLANK(F43)),OR(NOT(ISNUMBER(F43)),F43&lt;0)),AND(NOT(ISBLANK(G43)),OR(NOT(ISNUMBER(G43)),G43&lt;0)))),"Lỗi phút",IF(SUM(F43:G43)&gt;E43,"Nghe+nói vượt tổng",IF(AND(D43&lt;&gt;"Nghỉ",D43&lt;&gt;"Kiệt sức",D43&lt;&gt;"Bình thường",D43&lt;&gt;"Đủ sức"),"Thiếu chế độ",IF(AND(LEN(I43)&gt;0,COUNTIF($I$63:$I$69,I43)=0),"Lỗi mã","Hợp lệ")))))))</x:f>
      </x:c>
      <x:c r="K43" s="40" t="n">
        <x:f>IF(AND(ISNUMBER(B43),B43&gt;=0,B43&lt;=24),1,0)</x:f>
        <x:v>0</x:v>
      </x:c>
      <x:c r="L43" s="40" t="n">
        <x:f>IF(ISNUMBER(C43),IF(AND(C43&gt;=1,C43&lt;=5,MOD(C43,1)=0),1,0),0)</x:f>
        <x:v>0</x:v>
      </x:c>
      <x:c r="M43" s="40" t="n">
        <x:f>IF(AND(J43="Hợp lệ",ISNUMBER(F43)),1,0)</x:f>
        <x:v>0</x:v>
      </x:c>
      <x:c r="N43" s="40" t="n">
        <x:f>IF(AND(J43="Hợp lệ",ISNUMBER(G43)),1,0)</x:f>
        <x:v>0</x:v>
      </x:c>
      <x:c r="O43" s="40" t="n">
        <x:f>IF(J43="Hợp lệ",1,0)</x:f>
        <x:v>0</x:v>
      </x:c>
    </x:row>
    <x:row r="44" ht="25" customHeight="1">
      <x:c r="A44" s="22" t="n">
        <x:v>46346</x:v>
      </x:c>
      <x:c r="B44" s="23"/>
      <x:c r="C44" s="24"/>
      <x:c r="D44" s="26"/>
      <x:c r="E44" s="24"/>
      <x:c r="F44" s="24"/>
      <x:c r="G44" s="24"/>
      <x:c r="H44" s="21"/>
      <x:c r="I44" s="39"/>
      <x:c r="J44" s="40" t="str">
        <x:f>IF(AND(COUNTA(B44:I44)=0),"",IF(OR(AND(NOT(ISBLANK(B44)),OR(NOT(ISNUMBER(B44)),B44&lt;0,B44&gt;24)),AND(NOT(ISBLANK(C44)),IF(ISNUMBER(C44),OR(C44&lt;1,C44&gt;5,MOD(C44,1)&lt;&gt;0),TRUE))),"Lỗi ngủ/mệt",IF(NOT(ISNUMBER(E44)),"Thiếu tổng phút",IF(OR(E44&lt;0,OR(AND(NOT(ISBLANK(F44)),OR(NOT(ISNUMBER(F44)),F44&lt;0)),AND(NOT(ISBLANK(G44)),OR(NOT(ISNUMBER(G44)),G44&lt;0)))),"Lỗi phút",IF(SUM(F44:G44)&gt;E44,"Nghe+nói vượt tổng",IF(AND(D44&lt;&gt;"Nghỉ",D44&lt;&gt;"Kiệt sức",D44&lt;&gt;"Bình thường",D44&lt;&gt;"Đủ sức"),"Thiếu chế độ",IF(AND(LEN(I44)&gt;0,COUNTIF($I$63:$I$69,I44)=0),"Lỗi mã","Hợp lệ")))))))</x:f>
      </x:c>
      <x:c r="K44" s="40" t="n">
        <x:f>IF(AND(ISNUMBER(B44),B44&gt;=0,B44&lt;=24),1,0)</x:f>
        <x:v>0</x:v>
      </x:c>
      <x:c r="L44" s="40" t="n">
        <x:f>IF(ISNUMBER(C44),IF(AND(C44&gt;=1,C44&lt;=5,MOD(C44,1)=0),1,0),0)</x:f>
        <x:v>0</x:v>
      </x:c>
      <x:c r="M44" s="40" t="n">
        <x:f>IF(AND(J44="Hợp lệ",ISNUMBER(F44)),1,0)</x:f>
        <x:v>0</x:v>
      </x:c>
      <x:c r="N44" s="40" t="n">
        <x:f>IF(AND(J44="Hợp lệ",ISNUMBER(G44)),1,0)</x:f>
        <x:v>0</x:v>
      </x:c>
      <x:c r="O44" s="40" t="n">
        <x:f>IF(J44="Hợp lệ",1,0)</x:f>
        <x:v>0</x:v>
      </x:c>
    </x:row>
    <x:row r="45" ht="25" customHeight="1">
      <x:c r="A45" s="22" t="n">
        <x:v>46347</x:v>
      </x:c>
      <x:c r="B45" s="23"/>
      <x:c r="C45" s="24"/>
      <x:c r="D45" s="26"/>
      <x:c r="E45" s="24"/>
      <x:c r="F45" s="24"/>
      <x:c r="G45" s="24"/>
      <x:c r="H45" s="21"/>
      <x:c r="I45" s="39"/>
      <x:c r="J45" s="40" t="str">
        <x:f>IF(AND(COUNTA(B45:I45)=0),"",IF(OR(AND(NOT(ISBLANK(B45)),OR(NOT(ISNUMBER(B45)),B45&lt;0,B45&gt;24)),AND(NOT(ISBLANK(C45)),IF(ISNUMBER(C45),OR(C45&lt;1,C45&gt;5,MOD(C45,1)&lt;&gt;0),TRUE))),"Lỗi ngủ/mệt",IF(NOT(ISNUMBER(E45)),"Thiếu tổng phút",IF(OR(E45&lt;0,OR(AND(NOT(ISBLANK(F45)),OR(NOT(ISNUMBER(F45)),F45&lt;0)),AND(NOT(ISBLANK(G45)),OR(NOT(ISNUMBER(G45)),G45&lt;0)))),"Lỗi phút",IF(SUM(F45:G45)&gt;E45,"Nghe+nói vượt tổng",IF(AND(D45&lt;&gt;"Nghỉ",D45&lt;&gt;"Kiệt sức",D45&lt;&gt;"Bình thường",D45&lt;&gt;"Đủ sức"),"Thiếu chế độ",IF(AND(LEN(I45)&gt;0,COUNTIF($I$63:$I$69,I45)=0),"Lỗi mã","Hợp lệ")))))))</x:f>
      </x:c>
      <x:c r="K45" s="40" t="n">
        <x:f>IF(AND(ISNUMBER(B45),B45&gt;=0,B45&lt;=24),1,0)</x:f>
        <x:v>0</x:v>
      </x:c>
      <x:c r="L45" s="40" t="n">
        <x:f>IF(ISNUMBER(C45),IF(AND(C45&gt;=1,C45&lt;=5,MOD(C45,1)=0),1,0),0)</x:f>
        <x:v>0</x:v>
      </x:c>
      <x:c r="M45" s="40" t="n">
        <x:f>IF(AND(J45="Hợp lệ",ISNUMBER(F45)),1,0)</x:f>
        <x:v>0</x:v>
      </x:c>
      <x:c r="N45" s="40" t="n">
        <x:f>IF(AND(J45="Hợp lệ",ISNUMBER(G45)),1,0)</x:f>
        <x:v>0</x:v>
      </x:c>
      <x:c r="O45" s="40" t="n">
        <x:f>IF(J45="Hợp lệ",1,0)</x:f>
        <x:v>0</x:v>
      </x:c>
    </x:row>
    <x:row r="46" ht="25" customHeight="1">
      <x:c r="A46" s="22" t="n">
        <x:v>46348</x:v>
      </x:c>
      <x:c r="B46" s="23"/>
      <x:c r="C46" s="24"/>
      <x:c r="D46" s="26"/>
      <x:c r="E46" s="24"/>
      <x:c r="F46" s="24"/>
      <x:c r="G46" s="24"/>
      <x:c r="H46" s="21"/>
      <x:c r="I46" s="39"/>
      <x:c r="J46" s="40" t="str">
        <x:f>IF(AND(COUNTA(B46:I46)=0),"",IF(OR(AND(NOT(ISBLANK(B46)),OR(NOT(ISNUMBER(B46)),B46&lt;0,B46&gt;24)),AND(NOT(ISBLANK(C46)),IF(ISNUMBER(C46),OR(C46&lt;1,C46&gt;5,MOD(C46,1)&lt;&gt;0),TRUE))),"Lỗi ngủ/mệt",IF(NOT(ISNUMBER(E46)),"Thiếu tổng phút",IF(OR(E46&lt;0,OR(AND(NOT(ISBLANK(F46)),OR(NOT(ISNUMBER(F46)),F46&lt;0)),AND(NOT(ISBLANK(G46)),OR(NOT(ISNUMBER(G46)),G46&lt;0)))),"Lỗi phút",IF(SUM(F46:G46)&gt;E46,"Nghe+nói vượt tổng",IF(AND(D46&lt;&gt;"Nghỉ",D46&lt;&gt;"Kiệt sức",D46&lt;&gt;"Bình thường",D46&lt;&gt;"Đủ sức"),"Thiếu chế độ",IF(AND(LEN(I46)&gt;0,COUNTIF($I$63:$I$69,I46)=0),"Lỗi mã","Hợp lệ")))))))</x:f>
      </x:c>
      <x:c r="K46" s="40" t="n">
        <x:f>IF(AND(ISNUMBER(B46),B46&gt;=0,B46&lt;=24),1,0)</x:f>
        <x:v>0</x:v>
      </x:c>
      <x:c r="L46" s="40" t="n">
        <x:f>IF(ISNUMBER(C46),IF(AND(C46&gt;=1,C46&lt;=5,MOD(C46,1)=0),1,0),0)</x:f>
        <x:v>0</x:v>
      </x:c>
      <x:c r="M46" s="40" t="n">
        <x:f>IF(AND(J46="Hợp lệ",ISNUMBER(F46)),1,0)</x:f>
        <x:v>0</x:v>
      </x:c>
      <x:c r="N46" s="40" t="n">
        <x:f>IF(AND(J46="Hợp lệ",ISNUMBER(G46)),1,0)</x:f>
        <x:v>0</x:v>
      </x:c>
      <x:c r="O46" s="40" t="n">
        <x:f>IF(J46="Hợp lệ",1,0)</x:f>
        <x:v>0</x:v>
      </x:c>
    </x:row>
    <x:row r="47" ht="25" customHeight="1">
      <x:c r="A47" s="22" t="n">
        <x:v>46349</x:v>
      </x:c>
      <x:c r="B47" s="23"/>
      <x:c r="C47" s="24"/>
      <x:c r="D47" s="26"/>
      <x:c r="E47" s="24"/>
      <x:c r="F47" s="24"/>
      <x:c r="G47" s="24"/>
      <x:c r="H47" s="21"/>
      <x:c r="I47" s="39"/>
      <x:c r="J47" s="40" t="str">
        <x:f>IF(AND(COUNTA(B47:I47)=0),"",IF(OR(AND(NOT(ISBLANK(B47)),OR(NOT(ISNUMBER(B47)),B47&lt;0,B47&gt;24)),AND(NOT(ISBLANK(C47)),IF(ISNUMBER(C47),OR(C47&lt;1,C47&gt;5,MOD(C47,1)&lt;&gt;0),TRUE))),"Lỗi ngủ/mệt",IF(NOT(ISNUMBER(E47)),"Thiếu tổng phút",IF(OR(E47&lt;0,OR(AND(NOT(ISBLANK(F47)),OR(NOT(ISNUMBER(F47)),F47&lt;0)),AND(NOT(ISBLANK(G47)),OR(NOT(ISNUMBER(G47)),G47&lt;0)))),"Lỗi phút",IF(SUM(F47:G47)&gt;E47,"Nghe+nói vượt tổng",IF(AND(D47&lt;&gt;"Nghỉ",D47&lt;&gt;"Kiệt sức",D47&lt;&gt;"Bình thường",D47&lt;&gt;"Đủ sức"),"Thiếu chế độ",IF(AND(LEN(I47)&gt;0,COUNTIF($I$63:$I$69,I47)=0),"Lỗi mã","Hợp lệ")))))))</x:f>
      </x:c>
      <x:c r="K47" s="40" t="n">
        <x:f>IF(AND(ISNUMBER(B47),B47&gt;=0,B47&lt;=24),1,0)</x:f>
        <x:v>0</x:v>
      </x:c>
      <x:c r="L47" s="40" t="n">
        <x:f>IF(ISNUMBER(C47),IF(AND(C47&gt;=1,C47&lt;=5,MOD(C47,1)=0),1,0),0)</x:f>
        <x:v>0</x:v>
      </x:c>
      <x:c r="M47" s="40" t="n">
        <x:f>IF(AND(J47="Hợp lệ",ISNUMBER(F47)),1,0)</x:f>
        <x:v>0</x:v>
      </x:c>
      <x:c r="N47" s="40" t="n">
        <x:f>IF(AND(J47="Hợp lệ",ISNUMBER(G47)),1,0)</x:f>
        <x:v>0</x:v>
      </x:c>
      <x:c r="O47" s="40" t="n">
        <x:f>IF(J47="Hợp lệ",1,0)</x:f>
        <x:v>0</x:v>
      </x:c>
    </x:row>
    <x:row r="48" ht="25" customHeight="1">
      <x:c r="A48" s="22" t="n">
        <x:v>46350</x:v>
      </x:c>
      <x:c r="B48" s="23"/>
      <x:c r="C48" s="24"/>
      <x:c r="D48" s="26"/>
      <x:c r="E48" s="24"/>
      <x:c r="F48" s="24"/>
      <x:c r="G48" s="24"/>
      <x:c r="H48" s="21"/>
      <x:c r="I48" s="39"/>
      <x:c r="J48" s="40" t="str">
        <x:f>IF(AND(COUNTA(B48:I48)=0),"",IF(OR(AND(NOT(ISBLANK(B48)),OR(NOT(ISNUMBER(B48)),B48&lt;0,B48&gt;24)),AND(NOT(ISBLANK(C48)),IF(ISNUMBER(C48),OR(C48&lt;1,C48&gt;5,MOD(C48,1)&lt;&gt;0),TRUE))),"Lỗi ngủ/mệt",IF(NOT(ISNUMBER(E48)),"Thiếu tổng phút",IF(OR(E48&lt;0,OR(AND(NOT(ISBLANK(F48)),OR(NOT(ISNUMBER(F48)),F48&lt;0)),AND(NOT(ISBLANK(G48)),OR(NOT(ISNUMBER(G48)),G48&lt;0)))),"Lỗi phút",IF(SUM(F48:G48)&gt;E48,"Nghe+nói vượt tổng",IF(AND(D48&lt;&gt;"Nghỉ",D48&lt;&gt;"Kiệt sức",D48&lt;&gt;"Bình thường",D48&lt;&gt;"Đủ sức"),"Thiếu chế độ",IF(AND(LEN(I48)&gt;0,COUNTIF($I$63:$I$69,I48)=0),"Lỗi mã","Hợp lệ")))))))</x:f>
      </x:c>
      <x:c r="K48" s="40" t="n">
        <x:f>IF(AND(ISNUMBER(B48),B48&gt;=0,B48&lt;=24),1,0)</x:f>
        <x:v>0</x:v>
      </x:c>
      <x:c r="L48" s="40" t="n">
        <x:f>IF(ISNUMBER(C48),IF(AND(C48&gt;=1,C48&lt;=5,MOD(C48,1)=0),1,0),0)</x:f>
        <x:v>0</x:v>
      </x:c>
      <x:c r="M48" s="40" t="n">
        <x:f>IF(AND(J48="Hợp lệ",ISNUMBER(F48)),1,0)</x:f>
        <x:v>0</x:v>
      </x:c>
      <x:c r="N48" s="40" t="n">
        <x:f>IF(AND(J48="Hợp lệ",ISNUMBER(G48)),1,0)</x:f>
        <x:v>0</x:v>
      </x:c>
      <x:c r="O48" s="40" t="n">
        <x:f>IF(J48="Hợp lệ",1,0)</x:f>
        <x:v>0</x:v>
      </x:c>
    </x:row>
    <x:row r="49" ht="25" customHeight="1">
      <x:c r="A49" s="22" t="n">
        <x:v>46351</x:v>
      </x:c>
      <x:c r="B49" s="23"/>
      <x:c r="C49" s="24"/>
      <x:c r="D49" s="26"/>
      <x:c r="E49" s="24"/>
      <x:c r="F49" s="24"/>
      <x:c r="G49" s="24"/>
      <x:c r="H49" s="21"/>
      <x:c r="I49" s="39"/>
      <x:c r="J49" s="40" t="str">
        <x:f>IF(AND(COUNTA(B49:I49)=0),"",IF(OR(AND(NOT(ISBLANK(B49)),OR(NOT(ISNUMBER(B49)),B49&lt;0,B49&gt;24)),AND(NOT(ISBLANK(C49)),IF(ISNUMBER(C49),OR(C49&lt;1,C49&gt;5,MOD(C49,1)&lt;&gt;0),TRUE))),"Lỗi ngủ/mệt",IF(NOT(ISNUMBER(E49)),"Thiếu tổng phút",IF(OR(E49&lt;0,OR(AND(NOT(ISBLANK(F49)),OR(NOT(ISNUMBER(F49)),F49&lt;0)),AND(NOT(ISBLANK(G49)),OR(NOT(ISNUMBER(G49)),G49&lt;0)))),"Lỗi phút",IF(SUM(F49:G49)&gt;E49,"Nghe+nói vượt tổng",IF(AND(D49&lt;&gt;"Nghỉ",D49&lt;&gt;"Kiệt sức",D49&lt;&gt;"Bình thường",D49&lt;&gt;"Đủ sức"),"Thiếu chế độ",IF(AND(LEN(I49)&gt;0,COUNTIF($I$63:$I$69,I49)=0),"Lỗi mã","Hợp lệ")))))))</x:f>
      </x:c>
      <x:c r="K49" s="40" t="n">
        <x:f>IF(AND(ISNUMBER(B49),B49&gt;=0,B49&lt;=24),1,0)</x:f>
        <x:v>0</x:v>
      </x:c>
      <x:c r="L49" s="40" t="n">
        <x:f>IF(ISNUMBER(C49),IF(AND(C49&gt;=1,C49&lt;=5,MOD(C49,1)=0),1,0),0)</x:f>
        <x:v>0</x:v>
      </x:c>
      <x:c r="M49" s="40" t="n">
        <x:f>IF(AND(J49="Hợp lệ",ISNUMBER(F49)),1,0)</x:f>
        <x:v>0</x:v>
      </x:c>
      <x:c r="N49" s="40" t="n">
        <x:f>IF(AND(J49="Hợp lệ",ISNUMBER(G49)),1,0)</x:f>
        <x:v>0</x:v>
      </x:c>
      <x:c r="O49" s="40" t="n">
        <x:f>IF(J49="Hợp lệ",1,0)</x:f>
        <x:v>0</x:v>
      </x:c>
    </x:row>
    <x:row r="50" ht="25" customHeight="1">
      <x:c r="A50" s="22" t="n">
        <x:v>46352</x:v>
      </x:c>
      <x:c r="B50" s="23"/>
      <x:c r="C50" s="24"/>
      <x:c r="D50" s="26"/>
      <x:c r="E50" s="24"/>
      <x:c r="F50" s="24"/>
      <x:c r="G50" s="24"/>
      <x:c r="H50" s="21"/>
      <x:c r="I50" s="39"/>
      <x:c r="J50" s="40" t="str">
        <x:f>IF(AND(COUNTA(B50:I50)=0),"",IF(OR(AND(NOT(ISBLANK(B50)),OR(NOT(ISNUMBER(B50)),B50&lt;0,B50&gt;24)),AND(NOT(ISBLANK(C50)),IF(ISNUMBER(C50),OR(C50&lt;1,C50&gt;5,MOD(C50,1)&lt;&gt;0),TRUE))),"Lỗi ngủ/mệt",IF(NOT(ISNUMBER(E50)),"Thiếu tổng phút",IF(OR(E50&lt;0,OR(AND(NOT(ISBLANK(F50)),OR(NOT(ISNUMBER(F50)),F50&lt;0)),AND(NOT(ISBLANK(G50)),OR(NOT(ISNUMBER(G50)),G50&lt;0)))),"Lỗi phút",IF(SUM(F50:G50)&gt;E50,"Nghe+nói vượt tổng",IF(AND(D50&lt;&gt;"Nghỉ",D50&lt;&gt;"Kiệt sức",D50&lt;&gt;"Bình thường",D50&lt;&gt;"Đủ sức"),"Thiếu chế độ",IF(AND(LEN(I50)&gt;0,COUNTIF($I$63:$I$69,I50)=0),"Lỗi mã","Hợp lệ")))))))</x:f>
      </x:c>
      <x:c r="K50" s="40" t="n">
        <x:f>IF(AND(ISNUMBER(B50),B50&gt;=0,B50&lt;=24),1,0)</x:f>
        <x:v>0</x:v>
      </x:c>
      <x:c r="L50" s="40" t="n">
        <x:f>IF(ISNUMBER(C50),IF(AND(C50&gt;=1,C50&lt;=5,MOD(C50,1)=0),1,0),0)</x:f>
        <x:v>0</x:v>
      </x:c>
      <x:c r="M50" s="40" t="n">
        <x:f>IF(AND(J50="Hợp lệ",ISNUMBER(F50)),1,0)</x:f>
        <x:v>0</x:v>
      </x:c>
      <x:c r="N50" s="40" t="n">
        <x:f>IF(AND(J50="Hợp lệ",ISNUMBER(G50)),1,0)</x:f>
        <x:v>0</x:v>
      </x:c>
      <x:c r="O50" s="40" t="n">
        <x:f>IF(J50="Hợp lệ",1,0)</x:f>
        <x:v>0</x:v>
      </x:c>
    </x:row>
    <x:row r="51" ht="25" customHeight="1">
      <x:c r="A51" s="22" t="n">
        <x:v>46353</x:v>
      </x:c>
      <x:c r="B51" s="23"/>
      <x:c r="C51" s="24"/>
      <x:c r="D51" s="26"/>
      <x:c r="E51" s="24"/>
      <x:c r="F51" s="24"/>
      <x:c r="G51" s="24"/>
      <x:c r="H51" s="21"/>
      <x:c r="I51" s="39"/>
      <x:c r="J51" s="40" t="str">
        <x:f>IF(AND(COUNTA(B51:I51)=0),"",IF(OR(AND(NOT(ISBLANK(B51)),OR(NOT(ISNUMBER(B51)),B51&lt;0,B51&gt;24)),AND(NOT(ISBLANK(C51)),IF(ISNUMBER(C51),OR(C51&lt;1,C51&gt;5,MOD(C51,1)&lt;&gt;0),TRUE))),"Lỗi ngủ/mệt",IF(NOT(ISNUMBER(E51)),"Thiếu tổng phút",IF(OR(E51&lt;0,OR(AND(NOT(ISBLANK(F51)),OR(NOT(ISNUMBER(F51)),F51&lt;0)),AND(NOT(ISBLANK(G51)),OR(NOT(ISNUMBER(G51)),G51&lt;0)))),"Lỗi phút",IF(SUM(F51:G51)&gt;E51,"Nghe+nói vượt tổng",IF(AND(D51&lt;&gt;"Nghỉ",D51&lt;&gt;"Kiệt sức",D51&lt;&gt;"Bình thường",D51&lt;&gt;"Đủ sức"),"Thiếu chế độ",IF(AND(LEN(I51)&gt;0,COUNTIF($I$63:$I$69,I51)=0),"Lỗi mã","Hợp lệ")))))))</x:f>
      </x:c>
      <x:c r="K51" s="40" t="n">
        <x:f>IF(AND(ISNUMBER(B51),B51&gt;=0,B51&lt;=24),1,0)</x:f>
        <x:v>0</x:v>
      </x:c>
      <x:c r="L51" s="40" t="n">
        <x:f>IF(ISNUMBER(C51),IF(AND(C51&gt;=1,C51&lt;=5,MOD(C51,1)=0),1,0),0)</x:f>
        <x:v>0</x:v>
      </x:c>
      <x:c r="M51" s="40" t="n">
        <x:f>IF(AND(J51="Hợp lệ",ISNUMBER(F51)),1,0)</x:f>
        <x:v>0</x:v>
      </x:c>
      <x:c r="N51" s="40" t="n">
        <x:f>IF(AND(J51="Hợp lệ",ISNUMBER(G51)),1,0)</x:f>
        <x:v>0</x:v>
      </x:c>
      <x:c r="O51" s="40" t="n">
        <x:f>IF(J51="Hợp lệ",1,0)</x:f>
        <x:v>0</x:v>
      </x:c>
    </x:row>
    <x:row r="52" ht="25" customHeight="1">
      <x:c r="A52" s="22" t="n">
        <x:v>46354</x:v>
      </x:c>
      <x:c r="B52" s="23"/>
      <x:c r="C52" s="24"/>
      <x:c r="D52" s="26"/>
      <x:c r="E52" s="24"/>
      <x:c r="F52" s="24"/>
      <x:c r="G52" s="24"/>
      <x:c r="H52" s="21"/>
      <x:c r="I52" s="39"/>
      <x:c r="J52" s="40" t="str">
        <x:f>IF(AND(COUNTA(B52:I52)=0),"",IF(OR(AND(NOT(ISBLANK(B52)),OR(NOT(ISNUMBER(B52)),B52&lt;0,B52&gt;24)),AND(NOT(ISBLANK(C52)),IF(ISNUMBER(C52),OR(C52&lt;1,C52&gt;5,MOD(C52,1)&lt;&gt;0),TRUE))),"Lỗi ngủ/mệt",IF(NOT(ISNUMBER(E52)),"Thiếu tổng phút",IF(OR(E52&lt;0,OR(AND(NOT(ISBLANK(F52)),OR(NOT(ISNUMBER(F52)),F52&lt;0)),AND(NOT(ISBLANK(G52)),OR(NOT(ISNUMBER(G52)),G52&lt;0)))),"Lỗi phút",IF(SUM(F52:G52)&gt;E52,"Nghe+nói vượt tổng",IF(AND(D52&lt;&gt;"Nghỉ",D52&lt;&gt;"Kiệt sức",D52&lt;&gt;"Bình thường",D52&lt;&gt;"Đủ sức"),"Thiếu chế độ",IF(AND(LEN(I52)&gt;0,COUNTIF($I$63:$I$69,I52)=0),"Lỗi mã","Hợp lệ")))))))</x:f>
      </x:c>
      <x:c r="K52" s="40" t="n">
        <x:f>IF(AND(ISNUMBER(B52),B52&gt;=0,B52&lt;=24),1,0)</x:f>
        <x:v>0</x:v>
      </x:c>
      <x:c r="L52" s="40" t="n">
        <x:f>IF(ISNUMBER(C52),IF(AND(C52&gt;=1,C52&lt;=5,MOD(C52,1)=0),1,0),0)</x:f>
        <x:v>0</x:v>
      </x:c>
      <x:c r="M52" s="40" t="n">
        <x:f>IF(AND(J52="Hợp lệ",ISNUMBER(F52)),1,0)</x:f>
        <x:v>0</x:v>
      </x:c>
      <x:c r="N52" s="40" t="n">
        <x:f>IF(AND(J52="Hợp lệ",ISNUMBER(G52)),1,0)</x:f>
        <x:v>0</x:v>
      </x:c>
      <x:c r="O52" s="40" t="n">
        <x:f>IF(J52="Hợp lệ",1,0)</x:f>
        <x:v>0</x:v>
      </x:c>
    </x:row>
    <x:row r="53" ht="25" customHeight="1">
      <x:c r="A53" s="22" t="n">
        <x:v>46355</x:v>
      </x:c>
      <x:c r="B53" s="23"/>
      <x:c r="C53" s="24"/>
      <x:c r="D53" s="26"/>
      <x:c r="E53" s="24"/>
      <x:c r="F53" s="24"/>
      <x:c r="G53" s="24"/>
      <x:c r="H53" s="21"/>
      <x:c r="I53" s="39"/>
      <x:c r="J53" s="40" t="str">
        <x:f>IF(AND(COUNTA(B53:I53)=0),"",IF(OR(AND(NOT(ISBLANK(B53)),OR(NOT(ISNUMBER(B53)),B53&lt;0,B53&gt;24)),AND(NOT(ISBLANK(C53)),IF(ISNUMBER(C53),OR(C53&lt;1,C53&gt;5,MOD(C53,1)&lt;&gt;0),TRUE))),"Lỗi ngủ/mệt",IF(NOT(ISNUMBER(E53)),"Thiếu tổng phút",IF(OR(E53&lt;0,OR(AND(NOT(ISBLANK(F53)),OR(NOT(ISNUMBER(F53)),F53&lt;0)),AND(NOT(ISBLANK(G53)),OR(NOT(ISNUMBER(G53)),G53&lt;0)))),"Lỗi phút",IF(SUM(F53:G53)&gt;E53,"Nghe+nói vượt tổng",IF(AND(D53&lt;&gt;"Nghỉ",D53&lt;&gt;"Kiệt sức",D53&lt;&gt;"Bình thường",D53&lt;&gt;"Đủ sức"),"Thiếu chế độ",IF(AND(LEN(I53)&gt;0,COUNTIF($I$63:$I$69,I53)=0),"Lỗi mã","Hợp lệ")))))))</x:f>
      </x:c>
      <x:c r="K53" s="40" t="n">
        <x:f>IF(AND(ISNUMBER(B53),B53&gt;=0,B53&lt;=24),1,0)</x:f>
        <x:v>0</x:v>
      </x:c>
      <x:c r="L53" s="40" t="n">
        <x:f>IF(ISNUMBER(C53),IF(AND(C53&gt;=1,C53&lt;=5,MOD(C53,1)=0),1,0),0)</x:f>
        <x:v>0</x:v>
      </x:c>
      <x:c r="M53" s="40" t="n">
        <x:f>IF(AND(J53="Hợp lệ",ISNUMBER(F53)),1,0)</x:f>
        <x:v>0</x:v>
      </x:c>
      <x:c r="N53" s="40" t="n">
        <x:f>IF(AND(J53="Hợp lệ",ISNUMBER(G53)),1,0)</x:f>
        <x:v>0</x:v>
      </x:c>
      <x:c r="O53" s="40" t="n">
        <x:f>IF(J53="Hợp lệ",1,0)</x:f>
        <x:v>0</x:v>
      </x:c>
    </x:row>
    <x:row r="54" ht="25" customHeight="1">
      <x:c r="A54" s="22" t="n">
        <x:v>46356</x:v>
      </x:c>
      <x:c r="B54" s="23"/>
      <x:c r="C54" s="24"/>
      <x:c r="D54" s="26"/>
      <x:c r="E54" s="24"/>
      <x:c r="F54" s="24"/>
      <x:c r="G54" s="24"/>
      <x:c r="H54" s="21"/>
      <x:c r="I54" s="39"/>
      <x:c r="J54" s="40" t="str">
        <x:f>IF(AND(COUNTA(B54:I54)=0),"",IF(OR(AND(NOT(ISBLANK(B54)),OR(NOT(ISNUMBER(B54)),B54&lt;0,B54&gt;24)),AND(NOT(ISBLANK(C54)),IF(ISNUMBER(C54),OR(C54&lt;1,C54&gt;5,MOD(C54,1)&lt;&gt;0),TRUE))),"Lỗi ngủ/mệt",IF(NOT(ISNUMBER(E54)),"Thiếu tổng phút",IF(OR(E54&lt;0,OR(AND(NOT(ISBLANK(F54)),OR(NOT(ISNUMBER(F54)),F54&lt;0)),AND(NOT(ISBLANK(G54)),OR(NOT(ISNUMBER(G54)),G54&lt;0)))),"Lỗi phút",IF(SUM(F54:G54)&gt;E54,"Nghe+nói vượt tổng",IF(AND(D54&lt;&gt;"Nghỉ",D54&lt;&gt;"Kiệt sức",D54&lt;&gt;"Bình thường",D54&lt;&gt;"Đủ sức"),"Thiếu chế độ",IF(AND(LEN(I54)&gt;0,COUNTIF($I$63:$I$69,I54)=0),"Lỗi mã","Hợp lệ")))))))</x:f>
      </x:c>
      <x:c r="K54" s="40" t="n">
        <x:f>IF(AND(ISNUMBER(B54),B54&gt;=0,B54&lt;=24),1,0)</x:f>
        <x:v>0</x:v>
      </x:c>
      <x:c r="L54" s="40" t="n">
        <x:f>IF(ISNUMBER(C54),IF(AND(C54&gt;=1,C54&lt;=5,MOD(C54,1)=0),1,0),0)</x:f>
        <x:v>0</x:v>
      </x:c>
      <x:c r="M54" s="40" t="n">
        <x:f>IF(AND(J54="Hợp lệ",ISNUMBER(F54)),1,0)</x:f>
        <x:v>0</x:v>
      </x:c>
      <x:c r="N54" s="40" t="n">
        <x:f>IF(AND(J54="Hợp lệ",ISNUMBER(G54)),1,0)</x:f>
        <x:v>0</x:v>
      </x:c>
      <x:c r="O54" s="40" t="n">
        <x:f>IF(J54="Hợp lệ",1,0)</x:f>
        <x:v>0</x:v>
      </x:c>
    </x:row>
    <x:row r="55" ht="25" customHeight="1">
      <x:c r="A55" s="22" t="n">
        <x:v>46357</x:v>
      </x:c>
      <x:c r="B55" s="23"/>
      <x:c r="C55" s="24"/>
      <x:c r="D55" s="26"/>
      <x:c r="E55" s="24"/>
      <x:c r="F55" s="24"/>
      <x:c r="G55" s="24"/>
      <x:c r="H55" s="21"/>
      <x:c r="I55" s="39"/>
      <x:c r="J55" s="40" t="str">
        <x:f>IF(AND(COUNTA(B55:I55)=0),"",IF(OR(AND(NOT(ISBLANK(B55)),OR(NOT(ISNUMBER(B55)),B55&lt;0,B55&gt;24)),AND(NOT(ISBLANK(C55)),IF(ISNUMBER(C55),OR(C55&lt;1,C55&gt;5,MOD(C55,1)&lt;&gt;0),TRUE))),"Lỗi ngủ/mệt",IF(NOT(ISNUMBER(E55)),"Thiếu tổng phút",IF(OR(E55&lt;0,OR(AND(NOT(ISBLANK(F55)),OR(NOT(ISNUMBER(F55)),F55&lt;0)),AND(NOT(ISBLANK(G55)),OR(NOT(ISNUMBER(G55)),G55&lt;0)))),"Lỗi phút",IF(SUM(F55:G55)&gt;E55,"Nghe+nói vượt tổng",IF(AND(D55&lt;&gt;"Nghỉ",D55&lt;&gt;"Kiệt sức",D55&lt;&gt;"Bình thường",D55&lt;&gt;"Đủ sức"),"Thiếu chế độ",IF(AND(LEN(I55)&gt;0,COUNTIF($I$63:$I$69,I55)=0),"Lỗi mã","Hợp lệ")))))))</x:f>
      </x:c>
      <x:c r="K55" s="40" t="n">
        <x:f>IF(AND(ISNUMBER(B55),B55&gt;=0,B55&lt;=24),1,0)</x:f>
        <x:v>0</x:v>
      </x:c>
      <x:c r="L55" s="40" t="n">
        <x:f>IF(ISNUMBER(C55),IF(AND(C55&gt;=1,C55&lt;=5,MOD(C55,1)=0),1,0),0)</x:f>
        <x:v>0</x:v>
      </x:c>
      <x:c r="M55" s="40" t="n">
        <x:f>IF(AND(J55="Hợp lệ",ISNUMBER(F55)),1,0)</x:f>
        <x:v>0</x:v>
      </x:c>
      <x:c r="N55" s="40" t="n">
        <x:f>IF(AND(J55="Hợp lệ",ISNUMBER(G55)),1,0)</x:f>
        <x:v>0</x:v>
      </x:c>
      <x:c r="O55" s="40" t="n">
        <x:f>IF(J55="Hợp lệ",1,0)</x:f>
        <x:v>0</x:v>
      </x:c>
    </x:row>
    <x:row r="56" ht="25" customHeight="1">
      <x:c r="A56" s="22" t="n">
        <x:v>46358</x:v>
      </x:c>
      <x:c r="B56" s="23"/>
      <x:c r="C56" s="24"/>
      <x:c r="D56" s="26"/>
      <x:c r="E56" s="24"/>
      <x:c r="F56" s="24"/>
      <x:c r="G56" s="24"/>
      <x:c r="H56" s="21"/>
      <x:c r="I56" s="39"/>
      <x:c r="J56" s="40" t="str">
        <x:f>IF(AND(COUNTA(B56:I56)=0),"",IF(OR(AND(NOT(ISBLANK(B56)),OR(NOT(ISNUMBER(B56)),B56&lt;0,B56&gt;24)),AND(NOT(ISBLANK(C56)),IF(ISNUMBER(C56),OR(C56&lt;1,C56&gt;5,MOD(C56,1)&lt;&gt;0),TRUE))),"Lỗi ngủ/mệt",IF(NOT(ISNUMBER(E56)),"Thiếu tổng phút",IF(OR(E56&lt;0,OR(AND(NOT(ISBLANK(F56)),OR(NOT(ISNUMBER(F56)),F56&lt;0)),AND(NOT(ISBLANK(G56)),OR(NOT(ISNUMBER(G56)),G56&lt;0)))),"Lỗi phút",IF(SUM(F56:G56)&gt;E56,"Nghe+nói vượt tổng",IF(AND(D56&lt;&gt;"Nghỉ",D56&lt;&gt;"Kiệt sức",D56&lt;&gt;"Bình thường",D56&lt;&gt;"Đủ sức"),"Thiếu chế độ",IF(AND(LEN(I56)&gt;0,COUNTIF($I$63:$I$69,I56)=0),"Lỗi mã","Hợp lệ")))))))</x:f>
      </x:c>
      <x:c r="K56" s="40" t="n">
        <x:f>IF(AND(ISNUMBER(B56),B56&gt;=0,B56&lt;=24),1,0)</x:f>
        <x:v>0</x:v>
      </x:c>
      <x:c r="L56" s="40" t="n">
        <x:f>IF(ISNUMBER(C56),IF(AND(C56&gt;=1,C56&lt;=5,MOD(C56,1)=0),1,0),0)</x:f>
        <x:v>0</x:v>
      </x:c>
      <x:c r="M56" s="40" t="n">
        <x:f>IF(AND(J56="Hợp lệ",ISNUMBER(F56)),1,0)</x:f>
        <x:v>0</x:v>
      </x:c>
      <x:c r="N56" s="40" t="n">
        <x:f>IF(AND(J56="Hợp lệ",ISNUMBER(G56)),1,0)</x:f>
        <x:v>0</x:v>
      </x:c>
      <x:c r="O56" s="40" t="n">
        <x:f>IF(J56="Hợp lệ",1,0)</x:f>
        <x:v>0</x:v>
      </x:c>
    </x:row>
    <x:row r="57" ht="25" customHeight="1">
      <x:c r="A57" s="22" t="n">
        <x:v>46359</x:v>
      </x:c>
      <x:c r="B57" s="23"/>
      <x:c r="C57" s="24"/>
      <x:c r="D57" s="26"/>
      <x:c r="E57" s="24"/>
      <x:c r="F57" s="24"/>
      <x:c r="G57" s="24"/>
      <x:c r="H57" s="21"/>
      <x:c r="I57" s="39"/>
      <x:c r="J57" s="40" t="str">
        <x:f>IF(AND(COUNTA(B57:I57)=0),"",IF(OR(AND(NOT(ISBLANK(B57)),OR(NOT(ISNUMBER(B57)),B57&lt;0,B57&gt;24)),AND(NOT(ISBLANK(C57)),IF(ISNUMBER(C57),OR(C57&lt;1,C57&gt;5,MOD(C57,1)&lt;&gt;0),TRUE))),"Lỗi ngủ/mệt",IF(NOT(ISNUMBER(E57)),"Thiếu tổng phút",IF(OR(E57&lt;0,OR(AND(NOT(ISBLANK(F57)),OR(NOT(ISNUMBER(F57)),F57&lt;0)),AND(NOT(ISBLANK(G57)),OR(NOT(ISNUMBER(G57)),G57&lt;0)))),"Lỗi phút",IF(SUM(F57:G57)&gt;E57,"Nghe+nói vượt tổng",IF(AND(D57&lt;&gt;"Nghỉ",D57&lt;&gt;"Kiệt sức",D57&lt;&gt;"Bình thường",D57&lt;&gt;"Đủ sức"),"Thiếu chế độ",IF(AND(LEN(I57)&gt;0,COUNTIF($I$63:$I$69,I57)=0),"Lỗi mã","Hợp lệ")))))))</x:f>
      </x:c>
      <x:c r="K57" s="40" t="n">
        <x:f>IF(AND(ISNUMBER(B57),B57&gt;=0,B57&lt;=24),1,0)</x:f>
        <x:v>0</x:v>
      </x:c>
      <x:c r="L57" s="40" t="n">
        <x:f>IF(ISNUMBER(C57),IF(AND(C57&gt;=1,C57&lt;=5,MOD(C57,1)=0),1,0),0)</x:f>
        <x:v>0</x:v>
      </x:c>
      <x:c r="M57" s="40" t="n">
        <x:f>IF(AND(J57="Hợp lệ",ISNUMBER(F57)),1,0)</x:f>
        <x:v>0</x:v>
      </x:c>
      <x:c r="N57" s="40" t="n">
        <x:f>IF(AND(J57="Hợp lệ",ISNUMBER(G57)),1,0)</x:f>
        <x:v>0</x:v>
      </x:c>
      <x:c r="O57" s="40" t="n">
        <x:f>IF(J57="Hợp lệ",1,0)</x:f>
        <x:v>0</x:v>
      </x:c>
    </x:row>
    <x:row r="58" ht="25" customHeight="1">
      <x:c r="A58" s="22" t="n">
        <x:v>46360</x:v>
      </x:c>
      <x:c r="B58" s="23"/>
      <x:c r="C58" s="24"/>
      <x:c r="D58" s="26"/>
      <x:c r="E58" s="24"/>
      <x:c r="F58" s="24"/>
      <x:c r="G58" s="24"/>
      <x:c r="H58" s="21"/>
      <x:c r="I58" s="39"/>
      <x:c r="J58" s="40" t="str">
        <x:f>IF(AND(COUNTA(B58:I58)=0),"",IF(OR(AND(NOT(ISBLANK(B58)),OR(NOT(ISNUMBER(B58)),B58&lt;0,B58&gt;24)),AND(NOT(ISBLANK(C58)),IF(ISNUMBER(C58),OR(C58&lt;1,C58&gt;5,MOD(C58,1)&lt;&gt;0),TRUE))),"Lỗi ngủ/mệt",IF(NOT(ISNUMBER(E58)),"Thiếu tổng phút",IF(OR(E58&lt;0,OR(AND(NOT(ISBLANK(F58)),OR(NOT(ISNUMBER(F58)),F58&lt;0)),AND(NOT(ISBLANK(G58)),OR(NOT(ISNUMBER(G58)),G58&lt;0)))),"Lỗi phút",IF(SUM(F58:G58)&gt;E58,"Nghe+nói vượt tổng",IF(AND(D58&lt;&gt;"Nghỉ",D58&lt;&gt;"Kiệt sức",D58&lt;&gt;"Bình thường",D58&lt;&gt;"Đủ sức"),"Thiếu chế độ",IF(AND(LEN(I58)&gt;0,COUNTIF($I$63:$I$69,I58)=0),"Lỗi mã","Hợp lệ")))))))</x:f>
      </x:c>
      <x:c r="K58" s="40" t="n">
        <x:f>IF(AND(ISNUMBER(B58),B58&gt;=0,B58&lt;=24),1,0)</x:f>
        <x:v>0</x:v>
      </x:c>
      <x:c r="L58" s="40" t="n">
        <x:f>IF(ISNUMBER(C58),IF(AND(C58&gt;=1,C58&lt;=5,MOD(C58,1)=0),1,0),0)</x:f>
        <x:v>0</x:v>
      </x:c>
      <x:c r="M58" s="40" t="n">
        <x:f>IF(AND(J58="Hợp lệ",ISNUMBER(F58)),1,0)</x:f>
        <x:v>0</x:v>
      </x:c>
      <x:c r="N58" s="40" t="n">
        <x:f>IF(AND(J58="Hợp lệ",ISNUMBER(G58)),1,0)</x:f>
        <x:v>0</x:v>
      </x:c>
      <x:c r="O58" s="40" t="n">
        <x:f>IF(J58="Hợp lệ",1,0)</x:f>
        <x:v>0</x:v>
      </x:c>
    </x:row>
    <x:row r="59" ht="25" customHeight="1">
      <x:c r="A59" s="22" t="n">
        <x:v>46361</x:v>
      </x:c>
      <x:c r="B59" s="23"/>
      <x:c r="C59" s="24"/>
      <x:c r="D59" s="26"/>
      <x:c r="E59" s="24"/>
      <x:c r="F59" s="24"/>
      <x:c r="G59" s="24"/>
      <x:c r="H59" s="21"/>
      <x:c r="I59" s="39"/>
      <x:c r="J59" s="40" t="str">
        <x:f>IF(AND(COUNTA(B59:I59)=0),"",IF(OR(AND(NOT(ISBLANK(B59)),OR(NOT(ISNUMBER(B59)),B59&lt;0,B59&gt;24)),AND(NOT(ISBLANK(C59)),IF(ISNUMBER(C59),OR(C59&lt;1,C59&gt;5,MOD(C59,1)&lt;&gt;0),TRUE))),"Lỗi ngủ/mệt",IF(NOT(ISNUMBER(E59)),"Thiếu tổng phút",IF(OR(E59&lt;0,OR(AND(NOT(ISBLANK(F59)),OR(NOT(ISNUMBER(F59)),F59&lt;0)),AND(NOT(ISBLANK(G59)),OR(NOT(ISNUMBER(G59)),G59&lt;0)))),"Lỗi phút",IF(SUM(F59:G59)&gt;E59,"Nghe+nói vượt tổng",IF(AND(D59&lt;&gt;"Nghỉ",D59&lt;&gt;"Kiệt sức",D59&lt;&gt;"Bình thường",D59&lt;&gt;"Đủ sức"),"Thiếu chế độ",IF(AND(LEN(I59)&gt;0,COUNTIF($I$63:$I$69,I59)=0),"Lỗi mã","Hợp lệ")))))))</x:f>
      </x:c>
      <x:c r="K59" s="40" t="n">
        <x:f>IF(AND(ISNUMBER(B59),B59&gt;=0,B59&lt;=24),1,0)</x:f>
        <x:v>0</x:v>
      </x:c>
      <x:c r="L59" s="40" t="n">
        <x:f>IF(ISNUMBER(C59),IF(AND(C59&gt;=1,C59&lt;=5,MOD(C59,1)=0),1,0),0)</x:f>
        <x:v>0</x:v>
      </x:c>
      <x:c r="M59" s="40" t="n">
        <x:f>IF(AND(J59="Hợp lệ",ISNUMBER(F59)),1,0)</x:f>
        <x:v>0</x:v>
      </x:c>
      <x:c r="N59" s="40" t="n">
        <x:f>IF(AND(J59="Hợp lệ",ISNUMBER(G59)),1,0)</x:f>
        <x:v>0</x:v>
      </x:c>
      <x:c r="O59" s="40" t="n">
        <x:f>IF(J59="Hợp lệ",1,0)</x:f>
        <x:v>0</x:v>
      </x:c>
    </x:row>
    <x:row r="62" ht="34" customHeight="1">
      <x:c r="I62" s="36" t="str">
        <x:v>Mã</x:v>
      </x:c>
      <x:c r="J62" s="38" t="str">
        <x:v>Ý nghĩa</x:v>
      </x:c>
    </x:row>
    <x:row r="63">
      <x:c r="I63" t="str">
        <x:v>V</x:v>
      </x:c>
      <x:c r="J63" t="str">
        <x:v>Từ và kanji</x:v>
      </x:c>
    </x:row>
    <x:row r="64">
      <x:c r="I64" t="str">
        <x:v>G</x:v>
      </x:c>
      <x:c r="J64" t="str">
        <x:v>Ngữ pháp</x:v>
      </x:c>
    </x:row>
    <x:row r="65">
      <x:c r="I65" t="str">
        <x:v>R</x:v>
      </x:c>
      <x:c r="J65" t="str">
        <x:v>Nối ý đọc</x:v>
      </x:c>
    </x:row>
    <x:row r="66">
      <x:c r="I66" t="str">
        <x:v>A</x:v>
      </x:c>
      <x:c r="J66" t="str">
        <x:v>Nhận diện âm</x:v>
      </x:c>
    </x:row>
    <x:row r="67">
      <x:c r="I67" t="str">
        <x:v>M</x:v>
      </x:c>
      <x:c r="J67" t="str">
        <x:v>Giữ thông tin</x:v>
      </x:c>
    </x:row>
    <x:row r="68">
      <x:c r="I68" t="str">
        <x:v>T</x:v>
      </x:c>
      <x:c r="J68" t="str">
        <x:v>Thời gian</x:v>
      </x:c>
    </x:row>
    <x:row r="69">
      <x:c r="I69" t="str">
        <x:v>F</x:v>
      </x:c>
      <x:c r="J69" t="str">
        <x:v>Mệt/gián đoạn</x:v>
      </x:c>
    </x:row>
  </x:sheetData>
  <x:conditionalFormatting sqref="E8:G59">
    <x:cfRule type="expression" dxfId="0" priority="1">
      <x:formula>AND(ISNUMBER($E8),SUM($F8:$G8)&gt;$E8)</x:formula>
    </x:cfRule>
  </x:conditionalFormatting>
  <x:conditionalFormatting sqref="J8:J59">
    <x:cfRule type="expression" dxfId="5" priority="2">
      <x:formula>AND(J8&lt;&gt;"",J8&lt;&gt;"Hợp lệ")</x:formula>
    </x:cfRule>
  </x:conditionalFormatting>
  <x:dataValidations count="5">
    <x:dataValidation type="list" errorStyle="stop" allowBlank="1" showErrorMessage="1" errorTitle="Giá trị chưa hợp lệ" error="Nhập đúng phạm vi; 0 là bỏ câu, trống là chưa làm." sqref="D8:D59">
      <x:formula1>"Nghỉ,Kiệt sức,Bình thường,Đủ sức"</x:formula1>
    </x:dataValidation>
    <x:dataValidation type="whole" errorStyle="stop" operator="between" allowBlank="1" showErrorMessage="1" errorTitle="Giá trị chưa hợp lệ" error="Nhập đúng phạm vi; 0 là bỏ câu, trống là chưa làm." sqref="C8:C59">
      <x:formula1>1</x:formula1>
      <x:formula2>5</x:formula2>
    </x:dataValidation>
    <x:dataValidation type="whole" errorStyle="stop" operator="between" allowBlank="1" showErrorMessage="1" errorTitle="Giá trị chưa hợp lệ" error="Nhập đúng phạm vi; 0 là bỏ câu, trống là chưa làm." sqref="E8:G59">
      <x:formula1>0</x:formula1>
      <x:formula2>1440</x:formula2>
    </x:dataValidation>
    <x:dataValidation type="list" errorStyle="stop" allowBlank="1" showErrorMessage="1" errorTitle="Giá trị chưa hợp lệ" error="Nhập đúng phạm vi; 0 là bỏ câu, trống là chưa làm." sqref="I8:I59">
      <x:formula1>"V,G,R,A,M,T,F"</x:formula1>
    </x:dataValidation>
    <x:dataValidation type="decimal" errorStyle="stop" operator="between" allowBlank="1" showErrorMessage="1" errorTitle="Giá trị chưa hợp lệ" error="Nhập đúng phạm vi; 0 là bỏ câu, trống là chưa làm." sqref="B8:B59">
      <x:formula1>0</x:formula1>
      <x:formula2>24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" hidden="0" customWidth="1"/>
    <x:col min="3" max="3" width="15" hidden="0" customWidth="1"/>
    <x:col min="4" max="4" width="24" hidden="0" customWidth="1"/>
    <x:col min="5" max="5" width="12" hidden="0" customWidth="1"/>
    <x:col min="6" max="6" width="9" hidden="0" customWidth="1"/>
    <x:col min="7" max="7" width="10" hidden="0" customWidth="1"/>
    <x:col min="8" max="8" width="10" hidden="0" customWidth="1"/>
    <x:col min="9" max="9" width="12" hidden="0" customWidth="1"/>
    <x:col min="10" max="10" width="30" hidden="0" customWidth="1"/>
    <x:col min="11" max="11" width="13" hidden="0" customWidth="1"/>
    <x:col min="12" max="12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10" t="str">
        <x:v>Đo năng lực bằng câu mới và ôn lại lỗi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2" t="str">
        <x:v>Tỷ lệ đúng thô không đổi thành điểm JLPT. Chỉ dùng các hàng Mới để quyết định tăng độ khó.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2" customHeight="1">
      <x:c r="A5" s="12" t="str">
        <x:v>Ô vàng tự nhập; sửa ngày dự kiến theo ngày thật. START18 cuối bảng tự tổng hợp, không nhập lặp.</x:v>
      </x:c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2" customHeight="1">
      <x:c r="A6" s="12" t="str">
        <x:v>Chỉ hàng Mới, hợp lệ đi vào tổng hợp tuần. K là mã lỗi; L nêu dữ liệu cần sửa. Không đổi sang điểm JLPT.</x:v>
      </x:c>
      <x:c r="B6" s="12"/>
      <x:c r="C6" s="12"/>
      <x:c r="D6" s="12"/>
      <x:c r="E6" s="12"/>
      <x:c r="F6" s="12"/>
      <x:c r="G6" s="12"/>
      <x:c r="H6" s="12"/>
      <x:c r="I6" s="12"/>
      <x:c r="J6" s="12"/>
    </x:row>
    <x:row r="7" ht="34" customHeight="1">
      <x:c r="A7" s="7" t="str">
        <x:v>Ngày đo</x:v>
      </x:c>
      <x:c r="B7" s="8" t="str">
        <x:v>Cấp</x:v>
      </x:c>
      <x:c r="C7" s="8" t="str">
        <x:v>Kỹ năng</x:v>
      </x:c>
      <x:c r="D7" s="8" t="str">
        <x:v>Mã cuốn / phần / câu</x:v>
      </x:c>
      <x:c r="E7" s="8" t="str">
        <x:v>Loại câu</x:v>
      </x:c>
      <x:c r="F7" s="8" t="str">
        <x:v>Số đúng</x:v>
      </x:c>
      <x:c r="G7" s="8" t="str">
        <x:v>Tổng câu</x:v>
      </x:c>
      <x:c r="H7" s="8" t="str">
        <x:v>Phút làm</x:v>
      </x:c>
      <x:c r="I7" s="8" t="str">
        <x:v>Tỷ lệ đúng</x:v>
      </x:c>
      <x:c r="J7" s="9" t="str">
        <x:v>Lỗi chính hoặc quyết định</x:v>
      </x:c>
      <x:c r="K7" s="36" t="str">
        <x:v>Mã lỗi chính</x:v>
      </x:c>
      <x:c r="L7" s="38" t="str">
        <x:v>Kiểm tra dòng</x:v>
      </x:c>
    </x:row>
    <x:row r="8" ht="25" customHeight="1">
      <x:c r="A8" s="28" t="n">
        <x:v>46310</x:v>
      </x:c>
      <x:c r="B8" s="20" t="str">
        <x:v>N4</x:v>
      </x:c>
      <x:c r="C8" s="20" t="str">
        <x:v>Từ và kanji</x:v>
      </x:c>
      <x:c r="D8" s="21"/>
      <x:c r="E8" s="20"/>
      <x:c r="F8" s="24"/>
      <x:c r="G8" s="24"/>
      <x:c r="H8" s="24"/>
      <x:c r="I8" s="30" t="str">
        <x:f>IF(OR(ISBLANK(F8),ISBLANK(G8)),"",IF(OR(NOT(ISNUMBER(F8)),NOT(ISNUMBER(G8))),"Lỗi nhập",IF(OR(G8&lt;=0,F8&lt;0,F8&gt;G8),"Lỗi nhập",F8/G8)))</x:f>
      </x:c>
      <x:c r="J8" s="21"/>
      <x:c r="K8" s="39"/>
      <x:c r="L8" s="40" t="str">
        <x:f>IF(NOT(OR(COUNT(F8:H8)&gt;0,LEN(F8&amp;G8&amp;H8)&gt;0)),"",IF(NOT(ISNUMBER(I8)),"Lỗi/thiếu số đúng-tổng",IF(OR(MOD(F8,1)&lt;&gt;0,MOD(G8,1)&lt;&gt;0),"Lỗi/thiếu số đúng-tổng",IF(OR(AND(B8&lt;&gt;"N4",B8&lt;&gt;"N3",B8&lt;&gt;"N2"),AND(C8&lt;&gt;"Từ và kanji",C8&lt;&gt;"Ngữ pháp",C8&lt;&gt;"Đọc",C8&lt;&gt;"Nghe")),"Sai cấp/kỹ năng",IF(OR(NOT(ISNUMBER(A8)),A8&lt;1),"Thiếu ngày đo",IF(D8="","Thiếu mã bài",IF(AND(E8&lt;&gt;"Mới",E8&lt;&gt;"Ôn lại"),"Thiếu loại câu",IF(OR(NOT(ISNUMBER(H8)),H8&lt;=0),"Thiếu phút",IF(AND(E8="Mới",COUNTIFS($B$8:$B$79,B8,$C$8:$C$79,C8,$D$8:$D$79,D8,$E$8:$E$79,"Mới",$G$8:$G$79,"&gt;0")&gt;1),"Trùng câu mới","Hợp lệ")))))))))</x:f>
      </x:c>
    </x:row>
    <x:row r="9" ht="25" customHeight="1">
      <x:c r="A9" s="28" t="n">
        <x:v>46310</x:v>
      </x:c>
      <x:c r="B9" s="20" t="str">
        <x:v>N4</x:v>
      </x:c>
      <x:c r="C9" s="20" t="str">
        <x:v>Ngữ pháp</x:v>
      </x:c>
      <x:c r="D9" s="21"/>
      <x:c r="E9" s="20"/>
      <x:c r="F9" s="24"/>
      <x:c r="G9" s="24"/>
      <x:c r="H9" s="24"/>
      <x:c r="I9" s="30" t="str">
        <x:f>IF(OR(ISBLANK(F9),ISBLANK(G9)),"",IF(OR(NOT(ISNUMBER(F9)),NOT(ISNUMBER(G9))),"Lỗi nhập",IF(OR(G9&lt;=0,F9&lt;0,F9&gt;G9),"Lỗi nhập",F9/G9)))</x:f>
      </x:c>
      <x:c r="J9" s="21"/>
      <x:c r="K9" s="39"/>
      <x:c r="L9" s="40" t="str">
        <x:f>IF(NOT(OR(COUNT(F9:H9)&gt;0,LEN(F9&amp;G9&amp;H9)&gt;0)),"",IF(NOT(ISNUMBER(I9)),"Lỗi/thiếu số đúng-tổng",IF(OR(MOD(F9,1)&lt;&gt;0,MOD(G9,1)&lt;&gt;0),"Lỗi/thiếu số đúng-tổng",IF(OR(AND(B9&lt;&gt;"N4",B9&lt;&gt;"N3",B9&lt;&gt;"N2"),AND(C9&lt;&gt;"Từ và kanji",C9&lt;&gt;"Ngữ pháp",C9&lt;&gt;"Đọc",C9&lt;&gt;"Nghe")),"Sai cấp/kỹ năng",IF(OR(NOT(ISNUMBER(A9)),A9&lt;1),"Thiếu ngày đo",IF(D9="","Thiếu mã bài",IF(AND(E9&lt;&gt;"Mới",E9&lt;&gt;"Ôn lại"),"Thiếu loại câu",IF(OR(NOT(ISNUMBER(H9)),H9&lt;=0),"Thiếu phút",IF(AND(E9="Mới",COUNTIFS($B$8:$B$79,B9,$C$8:$C$79,C9,$D$8:$D$79,D9,$E$8:$E$79,"Mới",$G$8:$G$79,"&gt;0")&gt;1),"Trùng câu mới","Hợp lệ")))))))))</x:f>
      </x:c>
    </x:row>
    <x:row r="10" ht="25" customHeight="1">
      <x:c r="A10" s="28" t="n">
        <x:v>46310</x:v>
      </x:c>
      <x:c r="B10" s="20" t="str">
        <x:v>N4</x:v>
      </x:c>
      <x:c r="C10" s="20" t="str">
        <x:v>Đọc</x:v>
      </x:c>
      <x:c r="D10" s="21"/>
      <x:c r="E10" s="20"/>
      <x:c r="F10" s="24"/>
      <x:c r="G10" s="24"/>
      <x:c r="H10" s="24"/>
      <x:c r="I10" s="30" t="str">
        <x:f>IF(OR(ISBLANK(F10),ISBLANK(G10)),"",IF(OR(NOT(ISNUMBER(F10)),NOT(ISNUMBER(G10))),"Lỗi nhập",IF(OR(G10&lt;=0,F10&lt;0,F10&gt;G10),"Lỗi nhập",F10/G10)))</x:f>
      </x:c>
      <x:c r="J10" s="21"/>
      <x:c r="K10" s="39"/>
      <x:c r="L10" s="40" t="str">
        <x:f>IF(NOT(OR(COUNT(F10:H10)&gt;0,LEN(F10&amp;G10&amp;H10)&gt;0)),"",IF(NOT(ISNUMBER(I10)),"Lỗi/thiếu số đúng-tổng",IF(OR(MOD(F10,1)&lt;&gt;0,MOD(G10,1)&lt;&gt;0),"Lỗi/thiếu số đúng-tổng",IF(OR(AND(B10&lt;&gt;"N4",B10&lt;&gt;"N3",B10&lt;&gt;"N2"),AND(C10&lt;&gt;"Từ và kanji",C10&lt;&gt;"Ngữ pháp",C10&lt;&gt;"Đọc",C10&lt;&gt;"Nghe")),"Sai cấp/kỹ năng",IF(OR(NOT(ISNUMBER(A10)),A10&lt;1),"Thiếu ngày đo",IF(D10="","Thiếu mã bài",IF(AND(E10&lt;&gt;"Mới",E10&lt;&gt;"Ôn lại"),"Thiếu loại câu",IF(OR(NOT(ISNUMBER(H10)),H10&lt;=0),"Thiếu phút",IF(AND(E10="Mới",COUNTIFS($B$8:$B$79,B10,$C$8:$C$79,C10,$D$8:$D$79,D10,$E$8:$E$79,"Mới",$G$8:$G$79,"&gt;0")&gt;1),"Trùng câu mới","Hợp lệ")))))))))</x:f>
      </x:c>
    </x:row>
    <x:row r="11" ht="25" customHeight="1">
      <x:c r="A11" s="28" t="n">
        <x:v>46310</x:v>
      </x:c>
      <x:c r="B11" s="20" t="str">
        <x:v>N4</x:v>
      </x:c>
      <x:c r="C11" s="20" t="str">
        <x:v>Nghe</x:v>
      </x:c>
      <x:c r="D11" s="21"/>
      <x:c r="E11" s="20"/>
      <x:c r="F11" s="24"/>
      <x:c r="G11" s="24"/>
      <x:c r="H11" s="24"/>
      <x:c r="I11" s="30" t="str">
        <x:f>IF(OR(ISBLANK(F11),ISBLANK(G11)),"",IF(OR(NOT(ISNUMBER(F11)),NOT(ISNUMBER(G11))),"Lỗi nhập",IF(OR(G11&lt;=0,F11&lt;0,F11&gt;G11),"Lỗi nhập",F11/G11)))</x:f>
      </x:c>
      <x:c r="J11" s="21"/>
      <x:c r="K11" s="39"/>
      <x:c r="L11" s="40" t="str">
        <x:f>IF(NOT(OR(COUNT(F11:H11)&gt;0,LEN(F11&amp;G11&amp;H11)&gt;0)),"",IF(NOT(ISNUMBER(I11)),"Lỗi/thiếu số đúng-tổng",IF(OR(MOD(F11,1)&lt;&gt;0,MOD(G11,1)&lt;&gt;0),"Lỗi/thiếu số đúng-tổng",IF(OR(AND(B11&lt;&gt;"N4",B11&lt;&gt;"N3",B11&lt;&gt;"N2"),AND(C11&lt;&gt;"Từ và kanji",C11&lt;&gt;"Ngữ pháp",C11&lt;&gt;"Đọc",C11&lt;&gt;"Nghe")),"Sai cấp/kỹ năng",IF(OR(NOT(ISNUMBER(A11)),A11&lt;1),"Thiếu ngày đo",IF(D11="","Thiếu mã bài",IF(AND(E11&lt;&gt;"Mới",E11&lt;&gt;"Ôn lại"),"Thiếu loại câu",IF(OR(NOT(ISNUMBER(H11)),H11&lt;=0),"Thiếu phút",IF(AND(E11="Mới",COUNTIFS($B$8:$B$79,B11,$C$8:$C$79,C11,$D$8:$D$79,D11,$E$8:$E$79,"Mới",$G$8:$G$79,"&gt;0")&gt;1),"Trùng câu mới","Hợp lệ")))))))))</x:f>
      </x:c>
    </x:row>
    <x:row r="12" ht="25" customHeight="1">
      <x:c r="A12" s="28" t="n">
        <x:v>46310</x:v>
      </x:c>
      <x:c r="B12" s="20" t="str">
        <x:v>N3</x:v>
      </x:c>
      <x:c r="C12" s="20" t="str">
        <x:v>Từ và kanji</x:v>
      </x:c>
      <x:c r="D12" s="21"/>
      <x:c r="E12" s="20"/>
      <x:c r="F12" s="24"/>
      <x:c r="G12" s="24"/>
      <x:c r="H12" s="24"/>
      <x:c r="I12" s="30" t="str">
        <x:f>IF(OR(ISBLANK(F12),ISBLANK(G12)),"",IF(OR(NOT(ISNUMBER(F12)),NOT(ISNUMBER(G12))),"Lỗi nhập",IF(OR(G12&lt;=0,F12&lt;0,F12&gt;G12),"Lỗi nhập",F12/G12)))</x:f>
      </x:c>
      <x:c r="J12" s="21"/>
      <x:c r="K12" s="39"/>
      <x:c r="L12" s="40" t="str">
        <x:f>IF(NOT(OR(COUNT(F12:H12)&gt;0,LEN(F12&amp;G12&amp;H12)&gt;0)),"",IF(NOT(ISNUMBER(I12)),"Lỗi/thiếu số đúng-tổng",IF(OR(MOD(F12,1)&lt;&gt;0,MOD(G12,1)&lt;&gt;0),"Lỗi/thiếu số đúng-tổng",IF(OR(AND(B12&lt;&gt;"N4",B12&lt;&gt;"N3",B12&lt;&gt;"N2"),AND(C12&lt;&gt;"Từ và kanji",C12&lt;&gt;"Ngữ pháp",C12&lt;&gt;"Đọc",C12&lt;&gt;"Nghe")),"Sai cấp/kỹ năng",IF(OR(NOT(ISNUMBER(A12)),A12&lt;1),"Thiếu ngày đo",IF(D12="","Thiếu mã bài",IF(AND(E12&lt;&gt;"Mới",E12&lt;&gt;"Ôn lại"),"Thiếu loại câu",IF(OR(NOT(ISNUMBER(H12)),H12&lt;=0),"Thiếu phút",IF(AND(E12="Mới",COUNTIFS($B$8:$B$79,B12,$C$8:$C$79,C12,$D$8:$D$79,D12,$E$8:$E$79,"Mới",$G$8:$G$79,"&gt;0")&gt;1),"Trùng câu mới","Hợp lệ")))))))))</x:f>
      </x:c>
    </x:row>
    <x:row r="13" ht="25" customHeight="1">
      <x:c r="A13" s="28" t="n">
        <x:v>46310</x:v>
      </x:c>
      <x:c r="B13" s="20" t="str">
        <x:v>N3</x:v>
      </x:c>
      <x:c r="C13" s="20" t="str">
        <x:v>Ngữ pháp</x:v>
      </x:c>
      <x:c r="D13" s="21"/>
      <x:c r="E13" s="20"/>
      <x:c r="F13" s="24"/>
      <x:c r="G13" s="24"/>
      <x:c r="H13" s="24"/>
      <x:c r="I13" s="30" t="str">
        <x:f>IF(OR(ISBLANK(F13),ISBLANK(G13)),"",IF(OR(NOT(ISNUMBER(F13)),NOT(ISNUMBER(G13))),"Lỗi nhập",IF(OR(G13&lt;=0,F13&lt;0,F13&gt;G13),"Lỗi nhập",F13/G13)))</x:f>
      </x:c>
      <x:c r="J13" s="21"/>
      <x:c r="K13" s="39"/>
      <x:c r="L13" s="40" t="str">
        <x:f>IF(NOT(OR(COUNT(F13:H13)&gt;0,LEN(F13&amp;G13&amp;H13)&gt;0)),"",IF(NOT(ISNUMBER(I13)),"Lỗi/thiếu số đúng-tổng",IF(OR(MOD(F13,1)&lt;&gt;0,MOD(G13,1)&lt;&gt;0),"Lỗi/thiếu số đúng-tổng",IF(OR(AND(B13&lt;&gt;"N4",B13&lt;&gt;"N3",B13&lt;&gt;"N2"),AND(C13&lt;&gt;"Từ và kanji",C13&lt;&gt;"Ngữ pháp",C13&lt;&gt;"Đọc",C13&lt;&gt;"Nghe")),"Sai cấp/kỹ năng",IF(OR(NOT(ISNUMBER(A13)),A13&lt;1),"Thiếu ngày đo",IF(D13="","Thiếu mã bài",IF(AND(E13&lt;&gt;"Mới",E13&lt;&gt;"Ôn lại"),"Thiếu loại câu",IF(OR(NOT(ISNUMBER(H13)),H13&lt;=0),"Thiếu phút",IF(AND(E13="Mới",COUNTIFS($B$8:$B$79,B13,$C$8:$C$79,C13,$D$8:$D$79,D13,$E$8:$E$79,"Mới",$G$8:$G$79,"&gt;0")&gt;1),"Trùng câu mới","Hợp lệ")))))))))</x:f>
      </x:c>
    </x:row>
    <x:row r="14" ht="25" customHeight="1">
      <x:c r="A14" s="28" t="n">
        <x:v>46310</x:v>
      </x:c>
      <x:c r="B14" s="20" t="str">
        <x:v>N3</x:v>
      </x:c>
      <x:c r="C14" s="20" t="str">
        <x:v>Đọc</x:v>
      </x:c>
      <x:c r="D14" s="21"/>
      <x:c r="E14" s="20"/>
      <x:c r="F14" s="24"/>
      <x:c r="G14" s="24"/>
      <x:c r="H14" s="24"/>
      <x:c r="I14" s="30" t="str">
        <x:f>IF(OR(ISBLANK(F14),ISBLANK(G14)),"",IF(OR(NOT(ISNUMBER(F14)),NOT(ISNUMBER(G14))),"Lỗi nhập",IF(OR(G14&lt;=0,F14&lt;0,F14&gt;G14),"Lỗi nhập",F14/G14)))</x:f>
      </x:c>
      <x:c r="J14" s="21"/>
      <x:c r="K14" s="39"/>
      <x:c r="L14" s="40" t="str">
        <x:f>IF(NOT(OR(COUNT(F14:H14)&gt;0,LEN(F14&amp;G14&amp;H14)&gt;0)),"",IF(NOT(ISNUMBER(I14)),"Lỗi/thiếu số đúng-tổng",IF(OR(MOD(F14,1)&lt;&gt;0,MOD(G14,1)&lt;&gt;0),"Lỗi/thiếu số đúng-tổng",IF(OR(AND(B14&lt;&gt;"N4",B14&lt;&gt;"N3",B14&lt;&gt;"N2"),AND(C14&lt;&gt;"Từ và kanji",C14&lt;&gt;"Ngữ pháp",C14&lt;&gt;"Đọc",C14&lt;&gt;"Nghe")),"Sai cấp/kỹ năng",IF(OR(NOT(ISNUMBER(A14)),A14&lt;1),"Thiếu ngày đo",IF(D14="","Thiếu mã bài",IF(AND(E14&lt;&gt;"Mới",E14&lt;&gt;"Ôn lại"),"Thiếu loại câu",IF(OR(NOT(ISNUMBER(H14)),H14&lt;=0),"Thiếu phút",IF(AND(E14="Mới",COUNTIFS($B$8:$B$79,B14,$C$8:$C$79,C14,$D$8:$D$79,D14,$E$8:$E$79,"Mới",$G$8:$G$79,"&gt;0")&gt;1),"Trùng câu mới","Hợp lệ")))))))))</x:f>
      </x:c>
    </x:row>
    <x:row r="15" ht="25" customHeight="1">
      <x:c r="A15" s="28" t="n">
        <x:v>46310</x:v>
      </x:c>
      <x:c r="B15" s="20" t="str">
        <x:v>N3</x:v>
      </x:c>
      <x:c r="C15" s="20" t="str">
        <x:v>Nghe</x:v>
      </x:c>
      <x:c r="D15" s="21"/>
      <x:c r="E15" s="20"/>
      <x:c r="F15" s="24"/>
      <x:c r="G15" s="24"/>
      <x:c r="H15" s="24"/>
      <x:c r="I15" s="30" t="str">
        <x:f>IF(OR(ISBLANK(F15),ISBLANK(G15)),"",IF(OR(NOT(ISNUMBER(F15)),NOT(ISNUMBER(G15))),"Lỗi nhập",IF(OR(G15&lt;=0,F15&lt;0,F15&gt;G15),"Lỗi nhập",F15/G15)))</x:f>
      </x:c>
      <x:c r="J15" s="21"/>
      <x:c r="K15" s="39"/>
      <x:c r="L15" s="40" t="str">
        <x:f>IF(NOT(OR(COUNT(F15:H15)&gt;0,LEN(F15&amp;G15&amp;H15)&gt;0)),"",IF(NOT(ISNUMBER(I15)),"Lỗi/thiếu số đúng-tổng",IF(OR(MOD(F15,1)&lt;&gt;0,MOD(G15,1)&lt;&gt;0),"Lỗi/thiếu số đúng-tổng",IF(OR(AND(B15&lt;&gt;"N4",B15&lt;&gt;"N3",B15&lt;&gt;"N2"),AND(C15&lt;&gt;"Từ và kanji",C15&lt;&gt;"Ngữ pháp",C15&lt;&gt;"Đọc",C15&lt;&gt;"Nghe")),"Sai cấp/kỹ năng",IF(OR(NOT(ISNUMBER(A15)),A15&lt;1),"Thiếu ngày đo",IF(D15="","Thiếu mã bài",IF(AND(E15&lt;&gt;"Mới",E15&lt;&gt;"Ôn lại"),"Thiếu loại câu",IF(OR(NOT(ISNUMBER(H15)),H15&lt;=0),"Thiếu phút",IF(AND(E15="Mới",COUNTIFS($B$8:$B$79,B15,$C$8:$C$79,C15,$D$8:$D$79,D15,$E$8:$E$79,"Mới",$G$8:$G$79,"&gt;0")&gt;1),"Trùng câu mới","Hợp lệ")))))))))</x:f>
      </x:c>
    </x:row>
    <x:row r="16" ht="25" customHeight="1">
      <x:c r="A16" s="28" t="n">
        <x:v>46317</x:v>
      </x:c>
      <x:c r="B16" s="20" t="str">
        <x:v>N4</x:v>
      </x:c>
      <x:c r="C16" s="20" t="str">
        <x:v>Từ và kanji</x:v>
      </x:c>
      <x:c r="D16" s="21"/>
      <x:c r="E16" s="20"/>
      <x:c r="F16" s="24"/>
      <x:c r="G16" s="24"/>
      <x:c r="H16" s="24"/>
      <x:c r="I16" s="30" t="str">
        <x:f>IF(OR(ISBLANK(F16),ISBLANK(G16)),"",IF(OR(NOT(ISNUMBER(F16)),NOT(ISNUMBER(G16))),"Lỗi nhập",IF(OR(G16&lt;=0,F16&lt;0,F16&gt;G16),"Lỗi nhập",F16/G16)))</x:f>
      </x:c>
      <x:c r="J16" s="21"/>
      <x:c r="K16" s="39"/>
      <x:c r="L16" s="40" t="str">
        <x:f>IF(NOT(OR(COUNT(F16:H16)&gt;0,LEN(F16&amp;G16&amp;H16)&gt;0)),"",IF(NOT(ISNUMBER(I16)),"Lỗi/thiếu số đúng-tổng",IF(OR(MOD(F16,1)&lt;&gt;0,MOD(G16,1)&lt;&gt;0),"Lỗi/thiếu số đúng-tổng",IF(OR(AND(B16&lt;&gt;"N4",B16&lt;&gt;"N3",B16&lt;&gt;"N2"),AND(C16&lt;&gt;"Từ và kanji",C16&lt;&gt;"Ngữ pháp",C16&lt;&gt;"Đọc",C16&lt;&gt;"Nghe")),"Sai cấp/kỹ năng",IF(OR(NOT(ISNUMBER(A16)),A16&lt;1),"Thiếu ngày đo",IF(D16="","Thiếu mã bài",IF(AND(E16&lt;&gt;"Mới",E16&lt;&gt;"Ôn lại"),"Thiếu loại câu",IF(OR(NOT(ISNUMBER(H16)),H16&lt;=0),"Thiếu phút",IF(AND(E16="Mới",COUNTIFS($B$8:$B$79,B16,$C$8:$C$79,C16,$D$8:$D$79,D16,$E$8:$E$79,"Mới",$G$8:$G$79,"&gt;0")&gt;1),"Trùng câu mới","Hợp lệ")))))))))</x:f>
      </x:c>
    </x:row>
    <x:row r="17" ht="25" customHeight="1">
      <x:c r="A17" s="28" t="n">
        <x:v>46317</x:v>
      </x:c>
      <x:c r="B17" s="20" t="str">
        <x:v>N4</x:v>
      </x:c>
      <x:c r="C17" s="20" t="str">
        <x:v>Ngữ pháp</x:v>
      </x:c>
      <x:c r="D17" s="21"/>
      <x:c r="E17" s="20"/>
      <x:c r="F17" s="24"/>
      <x:c r="G17" s="24"/>
      <x:c r="H17" s="24"/>
      <x:c r="I17" s="30" t="str">
        <x:f>IF(OR(ISBLANK(F17),ISBLANK(G17)),"",IF(OR(NOT(ISNUMBER(F17)),NOT(ISNUMBER(G17))),"Lỗi nhập",IF(OR(G17&lt;=0,F17&lt;0,F17&gt;G17),"Lỗi nhập",F17/G17)))</x:f>
      </x:c>
      <x:c r="J17" s="21"/>
      <x:c r="K17" s="39"/>
      <x:c r="L17" s="40" t="str">
        <x:f>IF(NOT(OR(COUNT(F17:H17)&gt;0,LEN(F17&amp;G17&amp;H17)&gt;0)),"",IF(NOT(ISNUMBER(I17)),"Lỗi/thiếu số đúng-tổng",IF(OR(MOD(F17,1)&lt;&gt;0,MOD(G17,1)&lt;&gt;0),"Lỗi/thiếu số đúng-tổng",IF(OR(AND(B17&lt;&gt;"N4",B17&lt;&gt;"N3",B17&lt;&gt;"N2"),AND(C17&lt;&gt;"Từ và kanji",C17&lt;&gt;"Ngữ pháp",C17&lt;&gt;"Đọc",C17&lt;&gt;"Nghe")),"Sai cấp/kỹ năng",IF(OR(NOT(ISNUMBER(A17)),A17&lt;1),"Thiếu ngày đo",IF(D17="","Thiếu mã bài",IF(AND(E17&lt;&gt;"Mới",E17&lt;&gt;"Ôn lại"),"Thiếu loại câu",IF(OR(NOT(ISNUMBER(H17)),H17&lt;=0),"Thiếu phút",IF(AND(E17="Mới",COUNTIFS($B$8:$B$79,B17,$C$8:$C$79,C17,$D$8:$D$79,D17,$E$8:$E$79,"Mới",$G$8:$G$79,"&gt;0")&gt;1),"Trùng câu mới","Hợp lệ")))))))))</x:f>
      </x:c>
    </x:row>
    <x:row r="18" ht="25" customHeight="1">
      <x:c r="A18" s="28" t="n">
        <x:v>46317</x:v>
      </x:c>
      <x:c r="B18" s="20" t="str">
        <x:v>N4</x:v>
      </x:c>
      <x:c r="C18" s="20" t="str">
        <x:v>Đọc</x:v>
      </x:c>
      <x:c r="D18" s="21"/>
      <x:c r="E18" s="20"/>
      <x:c r="F18" s="24"/>
      <x:c r="G18" s="24"/>
      <x:c r="H18" s="24"/>
      <x:c r="I18" s="30" t="str">
        <x:f>IF(OR(ISBLANK(F18),ISBLANK(G18)),"",IF(OR(NOT(ISNUMBER(F18)),NOT(ISNUMBER(G18))),"Lỗi nhập",IF(OR(G18&lt;=0,F18&lt;0,F18&gt;G18),"Lỗi nhập",F18/G18)))</x:f>
      </x:c>
      <x:c r="J18" s="21"/>
      <x:c r="K18" s="39"/>
      <x:c r="L18" s="40" t="str">
        <x:f>IF(NOT(OR(COUNT(F18:H18)&gt;0,LEN(F18&amp;G18&amp;H18)&gt;0)),"",IF(NOT(ISNUMBER(I18)),"Lỗi/thiếu số đúng-tổng",IF(OR(MOD(F18,1)&lt;&gt;0,MOD(G18,1)&lt;&gt;0),"Lỗi/thiếu số đúng-tổng",IF(OR(AND(B18&lt;&gt;"N4",B18&lt;&gt;"N3",B18&lt;&gt;"N2"),AND(C18&lt;&gt;"Từ và kanji",C18&lt;&gt;"Ngữ pháp",C18&lt;&gt;"Đọc",C18&lt;&gt;"Nghe")),"Sai cấp/kỹ năng",IF(OR(NOT(ISNUMBER(A18)),A18&lt;1),"Thiếu ngày đo",IF(D18="","Thiếu mã bài",IF(AND(E18&lt;&gt;"Mới",E18&lt;&gt;"Ôn lại"),"Thiếu loại câu",IF(OR(NOT(ISNUMBER(H18)),H18&lt;=0),"Thiếu phút",IF(AND(E18="Mới",COUNTIFS($B$8:$B$79,B18,$C$8:$C$79,C18,$D$8:$D$79,D18,$E$8:$E$79,"Mới",$G$8:$G$79,"&gt;0")&gt;1),"Trùng câu mới","Hợp lệ")))))))))</x:f>
      </x:c>
    </x:row>
    <x:row r="19" ht="25" customHeight="1">
      <x:c r="A19" s="28" t="n">
        <x:v>46317</x:v>
      </x:c>
      <x:c r="B19" s="20" t="str">
        <x:v>N4</x:v>
      </x:c>
      <x:c r="C19" s="20" t="str">
        <x:v>Nghe</x:v>
      </x:c>
      <x:c r="D19" s="21"/>
      <x:c r="E19" s="20"/>
      <x:c r="F19" s="24"/>
      <x:c r="G19" s="24"/>
      <x:c r="H19" s="24"/>
      <x:c r="I19" s="30" t="str">
        <x:f>IF(OR(ISBLANK(F19),ISBLANK(G19)),"",IF(OR(NOT(ISNUMBER(F19)),NOT(ISNUMBER(G19))),"Lỗi nhập",IF(OR(G19&lt;=0,F19&lt;0,F19&gt;G19),"Lỗi nhập",F19/G19)))</x:f>
      </x:c>
      <x:c r="J19" s="21"/>
      <x:c r="K19" s="39"/>
      <x:c r="L19" s="40" t="str">
        <x:f>IF(NOT(OR(COUNT(F19:H19)&gt;0,LEN(F19&amp;G19&amp;H19)&gt;0)),"",IF(NOT(ISNUMBER(I19)),"Lỗi/thiếu số đúng-tổng",IF(OR(MOD(F19,1)&lt;&gt;0,MOD(G19,1)&lt;&gt;0),"Lỗi/thiếu số đúng-tổng",IF(OR(AND(B19&lt;&gt;"N4",B19&lt;&gt;"N3",B19&lt;&gt;"N2"),AND(C19&lt;&gt;"Từ và kanji",C19&lt;&gt;"Ngữ pháp",C19&lt;&gt;"Đọc",C19&lt;&gt;"Nghe")),"Sai cấp/kỹ năng",IF(OR(NOT(ISNUMBER(A19)),A19&lt;1),"Thiếu ngày đo",IF(D19="","Thiếu mã bài",IF(AND(E19&lt;&gt;"Mới",E19&lt;&gt;"Ôn lại"),"Thiếu loại câu",IF(OR(NOT(ISNUMBER(H19)),H19&lt;=0),"Thiếu phút",IF(AND(E19="Mới",COUNTIFS($B$8:$B$79,B19,$C$8:$C$79,C19,$D$8:$D$79,D19,$E$8:$E$79,"Mới",$G$8:$G$79,"&gt;0")&gt;1),"Trùng câu mới","Hợp lệ")))))))))</x:f>
      </x:c>
    </x:row>
    <x:row r="20" ht="25" customHeight="1">
      <x:c r="A20" s="28" t="n">
        <x:v>46317</x:v>
      </x:c>
      <x:c r="B20" s="20" t="str">
        <x:v>N3</x:v>
      </x:c>
      <x:c r="C20" s="20" t="str">
        <x:v>Từ và kanji</x:v>
      </x:c>
      <x:c r="D20" s="21"/>
      <x:c r="E20" s="20"/>
      <x:c r="F20" s="24"/>
      <x:c r="G20" s="24"/>
      <x:c r="H20" s="24"/>
      <x:c r="I20" s="30" t="str">
        <x:f>IF(OR(ISBLANK(F20),ISBLANK(G20)),"",IF(OR(NOT(ISNUMBER(F20)),NOT(ISNUMBER(G20))),"Lỗi nhập",IF(OR(G20&lt;=0,F20&lt;0,F20&gt;G20),"Lỗi nhập",F20/G20)))</x:f>
      </x:c>
      <x:c r="J20" s="21"/>
      <x:c r="K20" s="39"/>
      <x:c r="L20" s="40" t="str">
        <x:f>IF(NOT(OR(COUNT(F20:H20)&gt;0,LEN(F20&amp;G20&amp;H20)&gt;0)),"",IF(NOT(ISNUMBER(I20)),"Lỗi/thiếu số đúng-tổng",IF(OR(MOD(F20,1)&lt;&gt;0,MOD(G20,1)&lt;&gt;0),"Lỗi/thiếu số đúng-tổng",IF(OR(AND(B20&lt;&gt;"N4",B20&lt;&gt;"N3",B20&lt;&gt;"N2"),AND(C20&lt;&gt;"Từ và kanji",C20&lt;&gt;"Ngữ pháp",C20&lt;&gt;"Đọc",C20&lt;&gt;"Nghe")),"Sai cấp/kỹ năng",IF(OR(NOT(ISNUMBER(A20)),A20&lt;1),"Thiếu ngày đo",IF(D20="","Thiếu mã bài",IF(AND(E20&lt;&gt;"Mới",E20&lt;&gt;"Ôn lại"),"Thiếu loại câu",IF(OR(NOT(ISNUMBER(H20)),H20&lt;=0),"Thiếu phút",IF(AND(E20="Mới",COUNTIFS($B$8:$B$79,B20,$C$8:$C$79,C20,$D$8:$D$79,D20,$E$8:$E$79,"Mới",$G$8:$G$79,"&gt;0")&gt;1),"Trùng câu mới","Hợp lệ")))))))))</x:f>
      </x:c>
    </x:row>
    <x:row r="21" ht="25" customHeight="1">
      <x:c r="A21" s="28" t="n">
        <x:v>46317</x:v>
      </x:c>
      <x:c r="B21" s="20" t="str">
        <x:v>N3</x:v>
      </x:c>
      <x:c r="C21" s="20" t="str">
        <x:v>Ngữ pháp</x:v>
      </x:c>
      <x:c r="D21" s="21"/>
      <x:c r="E21" s="20"/>
      <x:c r="F21" s="24"/>
      <x:c r="G21" s="24"/>
      <x:c r="H21" s="24"/>
      <x:c r="I21" s="30" t="str">
        <x:f>IF(OR(ISBLANK(F21),ISBLANK(G21)),"",IF(OR(NOT(ISNUMBER(F21)),NOT(ISNUMBER(G21))),"Lỗi nhập",IF(OR(G21&lt;=0,F21&lt;0,F21&gt;G21),"Lỗi nhập",F21/G21)))</x:f>
      </x:c>
      <x:c r="J21" s="21"/>
      <x:c r="K21" s="39"/>
      <x:c r="L21" s="40" t="str">
        <x:f>IF(NOT(OR(COUNT(F21:H21)&gt;0,LEN(F21&amp;G21&amp;H21)&gt;0)),"",IF(NOT(ISNUMBER(I21)),"Lỗi/thiếu số đúng-tổng",IF(OR(MOD(F21,1)&lt;&gt;0,MOD(G21,1)&lt;&gt;0),"Lỗi/thiếu số đúng-tổng",IF(OR(AND(B21&lt;&gt;"N4",B21&lt;&gt;"N3",B21&lt;&gt;"N2"),AND(C21&lt;&gt;"Từ và kanji",C21&lt;&gt;"Ngữ pháp",C21&lt;&gt;"Đọc",C21&lt;&gt;"Nghe")),"Sai cấp/kỹ năng",IF(OR(NOT(ISNUMBER(A21)),A21&lt;1),"Thiếu ngày đo",IF(D21="","Thiếu mã bài",IF(AND(E21&lt;&gt;"Mới",E21&lt;&gt;"Ôn lại"),"Thiếu loại câu",IF(OR(NOT(ISNUMBER(H21)),H21&lt;=0),"Thiếu phút",IF(AND(E21="Mới",COUNTIFS($B$8:$B$79,B21,$C$8:$C$79,C21,$D$8:$D$79,D21,$E$8:$E$79,"Mới",$G$8:$G$79,"&gt;0")&gt;1),"Trùng câu mới","Hợp lệ")))))))))</x:f>
      </x:c>
    </x:row>
    <x:row r="22" ht="25" customHeight="1">
      <x:c r="A22" s="28" t="n">
        <x:v>46317</x:v>
      </x:c>
      <x:c r="B22" s="20" t="str">
        <x:v>N3</x:v>
      </x:c>
      <x:c r="C22" s="20" t="str">
        <x:v>Đọc</x:v>
      </x:c>
      <x:c r="D22" s="21"/>
      <x:c r="E22" s="20"/>
      <x:c r="F22" s="24"/>
      <x:c r="G22" s="24"/>
      <x:c r="H22" s="24"/>
      <x:c r="I22" s="30" t="str">
        <x:f>IF(OR(ISBLANK(F22),ISBLANK(G22)),"",IF(OR(NOT(ISNUMBER(F22)),NOT(ISNUMBER(G22))),"Lỗi nhập",IF(OR(G22&lt;=0,F22&lt;0,F22&gt;G22),"Lỗi nhập",F22/G22)))</x:f>
      </x:c>
      <x:c r="J22" s="21"/>
      <x:c r="K22" s="39"/>
      <x:c r="L22" s="40" t="str">
        <x:f>IF(NOT(OR(COUNT(F22:H22)&gt;0,LEN(F22&amp;G22&amp;H22)&gt;0)),"",IF(NOT(ISNUMBER(I22)),"Lỗi/thiếu số đúng-tổng",IF(OR(MOD(F22,1)&lt;&gt;0,MOD(G22,1)&lt;&gt;0),"Lỗi/thiếu số đúng-tổng",IF(OR(AND(B22&lt;&gt;"N4",B22&lt;&gt;"N3",B22&lt;&gt;"N2"),AND(C22&lt;&gt;"Từ và kanji",C22&lt;&gt;"Ngữ pháp",C22&lt;&gt;"Đọc",C22&lt;&gt;"Nghe")),"Sai cấp/kỹ năng",IF(OR(NOT(ISNUMBER(A22)),A22&lt;1),"Thiếu ngày đo",IF(D22="","Thiếu mã bài",IF(AND(E22&lt;&gt;"Mới",E22&lt;&gt;"Ôn lại"),"Thiếu loại câu",IF(OR(NOT(ISNUMBER(H22)),H22&lt;=0),"Thiếu phút",IF(AND(E22="Mới",COUNTIFS($B$8:$B$79,B22,$C$8:$C$79,C22,$D$8:$D$79,D22,$E$8:$E$79,"Mới",$G$8:$G$79,"&gt;0")&gt;1),"Trùng câu mới","Hợp lệ")))))))))</x:f>
      </x:c>
    </x:row>
    <x:row r="23" ht="25" customHeight="1">
      <x:c r="A23" s="28" t="n">
        <x:v>46317</x:v>
      </x:c>
      <x:c r="B23" s="20" t="str">
        <x:v>N3</x:v>
      </x:c>
      <x:c r="C23" s="20" t="str">
        <x:v>Nghe</x:v>
      </x:c>
      <x:c r="D23" s="21"/>
      <x:c r="E23" s="20"/>
      <x:c r="F23" s="24"/>
      <x:c r="G23" s="24"/>
      <x:c r="H23" s="24"/>
      <x:c r="I23" s="30" t="str">
        <x:f>IF(OR(ISBLANK(F23),ISBLANK(G23)),"",IF(OR(NOT(ISNUMBER(F23)),NOT(ISNUMBER(G23))),"Lỗi nhập",IF(OR(G23&lt;=0,F23&lt;0,F23&gt;G23),"Lỗi nhập",F23/G23)))</x:f>
      </x:c>
      <x:c r="J23" s="21"/>
      <x:c r="K23" s="39"/>
      <x:c r="L23" s="40" t="str">
        <x:f>IF(NOT(OR(COUNT(F23:H23)&gt;0,LEN(F23&amp;G23&amp;H23)&gt;0)),"",IF(NOT(ISNUMBER(I23)),"Lỗi/thiếu số đúng-tổng",IF(OR(MOD(F23,1)&lt;&gt;0,MOD(G23,1)&lt;&gt;0),"Lỗi/thiếu số đúng-tổng",IF(OR(AND(B23&lt;&gt;"N4",B23&lt;&gt;"N3",B23&lt;&gt;"N2"),AND(C23&lt;&gt;"Từ và kanji",C23&lt;&gt;"Ngữ pháp",C23&lt;&gt;"Đọc",C23&lt;&gt;"Nghe")),"Sai cấp/kỹ năng",IF(OR(NOT(ISNUMBER(A23)),A23&lt;1),"Thiếu ngày đo",IF(D23="","Thiếu mã bài",IF(AND(E23&lt;&gt;"Mới",E23&lt;&gt;"Ôn lại"),"Thiếu loại câu",IF(OR(NOT(ISNUMBER(H23)),H23&lt;=0),"Thiếu phút",IF(AND(E23="Mới",COUNTIFS($B$8:$B$79,B23,$C$8:$C$79,C23,$D$8:$D$79,D23,$E$8:$E$79,"Mới",$G$8:$G$79,"&gt;0")&gt;1),"Trùng câu mới","Hợp lệ")))))))))</x:f>
      </x:c>
    </x:row>
    <x:row r="24" ht="25" customHeight="1">
      <x:c r="A24" s="28" t="n">
        <x:v>46324</x:v>
      </x:c>
      <x:c r="B24" s="20" t="str">
        <x:v>N4</x:v>
      </x:c>
      <x:c r="C24" s="20" t="str">
        <x:v>Từ và kanji</x:v>
      </x:c>
      <x:c r="D24" s="21"/>
      <x:c r="E24" s="20"/>
      <x:c r="F24" s="24"/>
      <x:c r="G24" s="24"/>
      <x:c r="H24" s="24"/>
      <x:c r="I24" s="30" t="str">
        <x:f>IF(OR(ISBLANK(F24),ISBLANK(G24)),"",IF(OR(NOT(ISNUMBER(F24)),NOT(ISNUMBER(G24))),"Lỗi nhập",IF(OR(G24&lt;=0,F24&lt;0,F24&gt;G24),"Lỗi nhập",F24/G24)))</x:f>
      </x:c>
      <x:c r="J24" s="21"/>
      <x:c r="K24" s="39"/>
      <x:c r="L24" s="40" t="str">
        <x:f>IF(NOT(OR(COUNT(F24:H24)&gt;0,LEN(F24&amp;G24&amp;H24)&gt;0)),"",IF(NOT(ISNUMBER(I24)),"Lỗi/thiếu số đúng-tổng",IF(OR(MOD(F24,1)&lt;&gt;0,MOD(G24,1)&lt;&gt;0),"Lỗi/thiếu số đúng-tổng",IF(OR(AND(B24&lt;&gt;"N4",B24&lt;&gt;"N3",B24&lt;&gt;"N2"),AND(C24&lt;&gt;"Từ và kanji",C24&lt;&gt;"Ngữ pháp",C24&lt;&gt;"Đọc",C24&lt;&gt;"Nghe")),"Sai cấp/kỹ năng",IF(OR(NOT(ISNUMBER(A24)),A24&lt;1),"Thiếu ngày đo",IF(D24="","Thiếu mã bài",IF(AND(E24&lt;&gt;"Mới",E24&lt;&gt;"Ôn lại"),"Thiếu loại câu",IF(OR(NOT(ISNUMBER(H24)),H24&lt;=0),"Thiếu phút",IF(AND(E24="Mới",COUNTIFS($B$8:$B$79,B24,$C$8:$C$79,C24,$D$8:$D$79,D24,$E$8:$E$79,"Mới",$G$8:$G$79,"&gt;0")&gt;1),"Trùng câu mới","Hợp lệ")))))))))</x:f>
      </x:c>
    </x:row>
    <x:row r="25" ht="25" customHeight="1">
      <x:c r="A25" s="28" t="n">
        <x:v>46324</x:v>
      </x:c>
      <x:c r="B25" s="20" t="str">
        <x:v>N4</x:v>
      </x:c>
      <x:c r="C25" s="20" t="str">
        <x:v>Ngữ pháp</x:v>
      </x:c>
      <x:c r="D25" s="21"/>
      <x:c r="E25" s="20"/>
      <x:c r="F25" s="24"/>
      <x:c r="G25" s="24"/>
      <x:c r="H25" s="24"/>
      <x:c r="I25" s="30" t="str">
        <x:f>IF(OR(ISBLANK(F25),ISBLANK(G25)),"",IF(OR(NOT(ISNUMBER(F25)),NOT(ISNUMBER(G25))),"Lỗi nhập",IF(OR(G25&lt;=0,F25&lt;0,F25&gt;G25),"Lỗi nhập",F25/G25)))</x:f>
      </x:c>
      <x:c r="J25" s="21"/>
      <x:c r="K25" s="39"/>
      <x:c r="L25" s="40" t="str">
        <x:f>IF(NOT(OR(COUNT(F25:H25)&gt;0,LEN(F25&amp;G25&amp;H25)&gt;0)),"",IF(NOT(ISNUMBER(I25)),"Lỗi/thiếu số đúng-tổng",IF(OR(MOD(F25,1)&lt;&gt;0,MOD(G25,1)&lt;&gt;0),"Lỗi/thiếu số đúng-tổng",IF(OR(AND(B25&lt;&gt;"N4",B25&lt;&gt;"N3",B25&lt;&gt;"N2"),AND(C25&lt;&gt;"Từ và kanji",C25&lt;&gt;"Ngữ pháp",C25&lt;&gt;"Đọc",C25&lt;&gt;"Nghe")),"Sai cấp/kỹ năng",IF(OR(NOT(ISNUMBER(A25)),A25&lt;1),"Thiếu ngày đo",IF(D25="","Thiếu mã bài",IF(AND(E25&lt;&gt;"Mới",E25&lt;&gt;"Ôn lại"),"Thiếu loại câu",IF(OR(NOT(ISNUMBER(H25)),H25&lt;=0),"Thiếu phút",IF(AND(E25="Mới",COUNTIFS($B$8:$B$79,B25,$C$8:$C$79,C25,$D$8:$D$79,D25,$E$8:$E$79,"Mới",$G$8:$G$79,"&gt;0")&gt;1),"Trùng câu mới","Hợp lệ")))))))))</x:f>
      </x:c>
    </x:row>
    <x:row r="26" ht="25" customHeight="1">
      <x:c r="A26" s="28" t="n">
        <x:v>46324</x:v>
      </x:c>
      <x:c r="B26" s="20" t="str">
        <x:v>N4</x:v>
      </x:c>
      <x:c r="C26" s="20" t="str">
        <x:v>Đọc</x:v>
      </x:c>
      <x:c r="D26" s="21"/>
      <x:c r="E26" s="20"/>
      <x:c r="F26" s="24"/>
      <x:c r="G26" s="24"/>
      <x:c r="H26" s="24"/>
      <x:c r="I26" s="30" t="str">
        <x:f>IF(OR(ISBLANK(F26),ISBLANK(G26)),"",IF(OR(NOT(ISNUMBER(F26)),NOT(ISNUMBER(G26))),"Lỗi nhập",IF(OR(G26&lt;=0,F26&lt;0,F26&gt;G26),"Lỗi nhập",F26/G26)))</x:f>
      </x:c>
      <x:c r="J26" s="21"/>
      <x:c r="K26" s="39"/>
      <x:c r="L26" s="40" t="str">
        <x:f>IF(NOT(OR(COUNT(F26:H26)&gt;0,LEN(F26&amp;G26&amp;H26)&gt;0)),"",IF(NOT(ISNUMBER(I26)),"Lỗi/thiếu số đúng-tổng",IF(OR(MOD(F26,1)&lt;&gt;0,MOD(G26,1)&lt;&gt;0),"Lỗi/thiếu số đúng-tổng",IF(OR(AND(B26&lt;&gt;"N4",B26&lt;&gt;"N3",B26&lt;&gt;"N2"),AND(C26&lt;&gt;"Từ và kanji",C26&lt;&gt;"Ngữ pháp",C26&lt;&gt;"Đọc",C26&lt;&gt;"Nghe")),"Sai cấp/kỹ năng",IF(OR(NOT(ISNUMBER(A26)),A26&lt;1),"Thiếu ngày đo",IF(D26="","Thiếu mã bài",IF(AND(E26&lt;&gt;"Mới",E26&lt;&gt;"Ôn lại"),"Thiếu loại câu",IF(OR(NOT(ISNUMBER(H26)),H26&lt;=0),"Thiếu phút",IF(AND(E26="Mới",COUNTIFS($B$8:$B$79,B26,$C$8:$C$79,C26,$D$8:$D$79,D26,$E$8:$E$79,"Mới",$G$8:$G$79,"&gt;0")&gt;1),"Trùng câu mới","Hợp lệ")))))))))</x:f>
      </x:c>
    </x:row>
    <x:row r="27" ht="25" customHeight="1">
      <x:c r="A27" s="28" t="n">
        <x:v>46324</x:v>
      </x:c>
      <x:c r="B27" s="20" t="str">
        <x:v>N4</x:v>
      </x:c>
      <x:c r="C27" s="20" t="str">
        <x:v>Nghe</x:v>
      </x:c>
      <x:c r="D27" s="21"/>
      <x:c r="E27" s="20"/>
      <x:c r="F27" s="24"/>
      <x:c r="G27" s="24"/>
      <x:c r="H27" s="24"/>
      <x:c r="I27" s="30" t="str">
        <x:f>IF(OR(ISBLANK(F27),ISBLANK(G27)),"",IF(OR(NOT(ISNUMBER(F27)),NOT(ISNUMBER(G27))),"Lỗi nhập",IF(OR(G27&lt;=0,F27&lt;0,F27&gt;G27),"Lỗi nhập",F27/G27)))</x:f>
      </x:c>
      <x:c r="J27" s="21"/>
      <x:c r="K27" s="39"/>
      <x:c r="L27" s="40" t="str">
        <x:f>IF(NOT(OR(COUNT(F27:H27)&gt;0,LEN(F27&amp;G27&amp;H27)&gt;0)),"",IF(NOT(ISNUMBER(I27)),"Lỗi/thiếu số đúng-tổng",IF(OR(MOD(F27,1)&lt;&gt;0,MOD(G27,1)&lt;&gt;0),"Lỗi/thiếu số đúng-tổng",IF(OR(AND(B27&lt;&gt;"N4",B27&lt;&gt;"N3",B27&lt;&gt;"N2"),AND(C27&lt;&gt;"Từ và kanji",C27&lt;&gt;"Ngữ pháp",C27&lt;&gt;"Đọc",C27&lt;&gt;"Nghe")),"Sai cấp/kỹ năng",IF(OR(NOT(ISNUMBER(A27)),A27&lt;1),"Thiếu ngày đo",IF(D27="","Thiếu mã bài",IF(AND(E27&lt;&gt;"Mới",E27&lt;&gt;"Ôn lại"),"Thiếu loại câu",IF(OR(NOT(ISNUMBER(H27)),H27&lt;=0),"Thiếu phút",IF(AND(E27="Mới",COUNTIFS($B$8:$B$79,B27,$C$8:$C$79,C27,$D$8:$D$79,D27,$E$8:$E$79,"Mới",$G$8:$G$79,"&gt;0")&gt;1),"Trùng câu mới","Hợp lệ")))))))))</x:f>
      </x:c>
    </x:row>
    <x:row r="28" ht="25" customHeight="1">
      <x:c r="A28" s="28" t="n">
        <x:v>46324</x:v>
      </x:c>
      <x:c r="B28" s="20" t="str">
        <x:v>N3</x:v>
      </x:c>
      <x:c r="C28" s="20" t="str">
        <x:v>Từ và kanji</x:v>
      </x:c>
      <x:c r="D28" s="21"/>
      <x:c r="E28" s="20"/>
      <x:c r="F28" s="24"/>
      <x:c r="G28" s="24"/>
      <x:c r="H28" s="24"/>
      <x:c r="I28" s="30" t="str">
        <x:f>IF(OR(ISBLANK(F28),ISBLANK(G28)),"",IF(OR(NOT(ISNUMBER(F28)),NOT(ISNUMBER(G28))),"Lỗi nhập",IF(OR(G28&lt;=0,F28&lt;0,F28&gt;G28),"Lỗi nhập",F28/G28)))</x:f>
      </x:c>
      <x:c r="J28" s="21"/>
      <x:c r="K28" s="39"/>
      <x:c r="L28" s="40" t="str">
        <x:f>IF(NOT(OR(COUNT(F28:H28)&gt;0,LEN(F28&amp;G28&amp;H28)&gt;0)),"",IF(NOT(ISNUMBER(I28)),"Lỗi/thiếu số đúng-tổng",IF(OR(MOD(F28,1)&lt;&gt;0,MOD(G28,1)&lt;&gt;0),"Lỗi/thiếu số đúng-tổng",IF(OR(AND(B28&lt;&gt;"N4",B28&lt;&gt;"N3",B28&lt;&gt;"N2"),AND(C28&lt;&gt;"Từ và kanji",C28&lt;&gt;"Ngữ pháp",C28&lt;&gt;"Đọc",C28&lt;&gt;"Nghe")),"Sai cấp/kỹ năng",IF(OR(NOT(ISNUMBER(A28)),A28&lt;1),"Thiếu ngày đo",IF(D28="","Thiếu mã bài",IF(AND(E28&lt;&gt;"Mới",E28&lt;&gt;"Ôn lại"),"Thiếu loại câu",IF(OR(NOT(ISNUMBER(H28)),H28&lt;=0),"Thiếu phút",IF(AND(E28="Mới",COUNTIFS($B$8:$B$79,B28,$C$8:$C$79,C28,$D$8:$D$79,D28,$E$8:$E$79,"Mới",$G$8:$G$79,"&gt;0")&gt;1),"Trùng câu mới","Hợp lệ")))))))))</x:f>
      </x:c>
    </x:row>
    <x:row r="29" ht="25" customHeight="1">
      <x:c r="A29" s="28" t="n">
        <x:v>46324</x:v>
      </x:c>
      <x:c r="B29" s="20" t="str">
        <x:v>N3</x:v>
      </x:c>
      <x:c r="C29" s="20" t="str">
        <x:v>Ngữ pháp</x:v>
      </x:c>
      <x:c r="D29" s="21"/>
      <x:c r="E29" s="20"/>
      <x:c r="F29" s="24"/>
      <x:c r="G29" s="24"/>
      <x:c r="H29" s="24"/>
      <x:c r="I29" s="30" t="str">
        <x:f>IF(OR(ISBLANK(F29),ISBLANK(G29)),"",IF(OR(NOT(ISNUMBER(F29)),NOT(ISNUMBER(G29))),"Lỗi nhập",IF(OR(G29&lt;=0,F29&lt;0,F29&gt;G29),"Lỗi nhập",F29/G29)))</x:f>
      </x:c>
      <x:c r="J29" s="21"/>
      <x:c r="K29" s="39"/>
      <x:c r="L29" s="40" t="str">
        <x:f>IF(NOT(OR(COUNT(F29:H29)&gt;0,LEN(F29&amp;G29&amp;H29)&gt;0)),"",IF(NOT(ISNUMBER(I29)),"Lỗi/thiếu số đúng-tổng",IF(OR(MOD(F29,1)&lt;&gt;0,MOD(G29,1)&lt;&gt;0),"Lỗi/thiếu số đúng-tổng",IF(OR(AND(B29&lt;&gt;"N4",B29&lt;&gt;"N3",B29&lt;&gt;"N2"),AND(C29&lt;&gt;"Từ và kanji",C29&lt;&gt;"Ngữ pháp",C29&lt;&gt;"Đọc",C29&lt;&gt;"Nghe")),"Sai cấp/kỹ năng",IF(OR(NOT(ISNUMBER(A29)),A29&lt;1),"Thiếu ngày đo",IF(D29="","Thiếu mã bài",IF(AND(E29&lt;&gt;"Mới",E29&lt;&gt;"Ôn lại"),"Thiếu loại câu",IF(OR(NOT(ISNUMBER(H29)),H29&lt;=0),"Thiếu phút",IF(AND(E29="Mới",COUNTIFS($B$8:$B$79,B29,$C$8:$C$79,C29,$D$8:$D$79,D29,$E$8:$E$79,"Mới",$G$8:$G$79,"&gt;0")&gt;1),"Trùng câu mới","Hợp lệ")))))))))</x:f>
      </x:c>
    </x:row>
    <x:row r="30" ht="25" customHeight="1">
      <x:c r="A30" s="28" t="n">
        <x:v>46324</x:v>
      </x:c>
      <x:c r="B30" s="20" t="str">
        <x:v>N3</x:v>
      </x:c>
      <x:c r="C30" s="20" t="str">
        <x:v>Đọc</x:v>
      </x:c>
      <x:c r="D30" s="21"/>
      <x:c r="E30" s="20"/>
      <x:c r="F30" s="24"/>
      <x:c r="G30" s="24"/>
      <x:c r="H30" s="24"/>
      <x:c r="I30" s="30" t="str">
        <x:f>IF(OR(ISBLANK(F30),ISBLANK(G30)),"",IF(OR(NOT(ISNUMBER(F30)),NOT(ISNUMBER(G30))),"Lỗi nhập",IF(OR(G30&lt;=0,F30&lt;0,F30&gt;G30),"Lỗi nhập",F30/G30)))</x:f>
      </x:c>
      <x:c r="J30" s="21"/>
      <x:c r="K30" s="39"/>
      <x:c r="L30" s="40" t="str">
        <x:f>IF(NOT(OR(COUNT(F30:H30)&gt;0,LEN(F30&amp;G30&amp;H30)&gt;0)),"",IF(NOT(ISNUMBER(I30)),"Lỗi/thiếu số đúng-tổng",IF(OR(MOD(F30,1)&lt;&gt;0,MOD(G30,1)&lt;&gt;0),"Lỗi/thiếu số đúng-tổng",IF(OR(AND(B30&lt;&gt;"N4",B30&lt;&gt;"N3",B30&lt;&gt;"N2"),AND(C30&lt;&gt;"Từ và kanji",C30&lt;&gt;"Ngữ pháp",C30&lt;&gt;"Đọc",C30&lt;&gt;"Nghe")),"Sai cấp/kỹ năng",IF(OR(NOT(ISNUMBER(A30)),A30&lt;1),"Thiếu ngày đo",IF(D30="","Thiếu mã bài",IF(AND(E30&lt;&gt;"Mới",E30&lt;&gt;"Ôn lại"),"Thiếu loại câu",IF(OR(NOT(ISNUMBER(H30)),H30&lt;=0),"Thiếu phút",IF(AND(E30="Mới",COUNTIFS($B$8:$B$79,B30,$C$8:$C$79,C30,$D$8:$D$79,D30,$E$8:$E$79,"Mới",$G$8:$G$79,"&gt;0")&gt;1),"Trùng câu mới","Hợp lệ")))))))))</x:f>
      </x:c>
    </x:row>
    <x:row r="31" ht="25" customHeight="1">
      <x:c r="A31" s="28" t="n">
        <x:v>46324</x:v>
      </x:c>
      <x:c r="B31" s="20" t="str">
        <x:v>N3</x:v>
      </x:c>
      <x:c r="C31" s="20" t="str">
        <x:v>Nghe</x:v>
      </x:c>
      <x:c r="D31" s="21"/>
      <x:c r="E31" s="20"/>
      <x:c r="F31" s="24"/>
      <x:c r="G31" s="24"/>
      <x:c r="H31" s="24"/>
      <x:c r="I31" s="30" t="str">
        <x:f>IF(OR(ISBLANK(F31),ISBLANK(G31)),"",IF(OR(NOT(ISNUMBER(F31)),NOT(ISNUMBER(G31))),"Lỗi nhập",IF(OR(G31&lt;=0,F31&lt;0,F31&gt;G31),"Lỗi nhập",F31/G31)))</x:f>
      </x:c>
      <x:c r="J31" s="21"/>
      <x:c r="K31" s="39"/>
      <x:c r="L31" s="40" t="str">
        <x:f>IF(NOT(OR(COUNT(F31:H31)&gt;0,LEN(F31&amp;G31&amp;H31)&gt;0)),"",IF(NOT(ISNUMBER(I31)),"Lỗi/thiếu số đúng-tổng",IF(OR(MOD(F31,1)&lt;&gt;0,MOD(G31,1)&lt;&gt;0),"Lỗi/thiếu số đúng-tổng",IF(OR(AND(B31&lt;&gt;"N4",B31&lt;&gt;"N3",B31&lt;&gt;"N2"),AND(C31&lt;&gt;"Từ và kanji",C31&lt;&gt;"Ngữ pháp",C31&lt;&gt;"Đọc",C31&lt;&gt;"Nghe")),"Sai cấp/kỹ năng",IF(OR(NOT(ISNUMBER(A31)),A31&lt;1),"Thiếu ngày đo",IF(D31="","Thiếu mã bài",IF(AND(E31&lt;&gt;"Mới",E31&lt;&gt;"Ôn lại"),"Thiếu loại câu",IF(OR(NOT(ISNUMBER(H31)),H31&lt;=0),"Thiếu phút",IF(AND(E31="Mới",COUNTIFS($B$8:$B$79,B31,$C$8:$C$79,C31,$D$8:$D$79,D31,$E$8:$E$79,"Mới",$G$8:$G$79,"&gt;0")&gt;1),"Trùng câu mới","Hợp lệ")))))))))</x:f>
      </x:c>
    </x:row>
    <x:row r="32" ht="25" customHeight="1">
      <x:c r="A32" s="28" t="n">
        <x:v>46331</x:v>
      </x:c>
      <x:c r="B32" s="20" t="str">
        <x:v>N4</x:v>
      </x:c>
      <x:c r="C32" s="20" t="str">
        <x:v>Từ và kanji</x:v>
      </x:c>
      <x:c r="D32" s="21"/>
      <x:c r="E32" s="20"/>
      <x:c r="F32" s="24"/>
      <x:c r="G32" s="24"/>
      <x:c r="H32" s="24"/>
      <x:c r="I32" s="30" t="str">
        <x:f>IF(OR(ISBLANK(F32),ISBLANK(G32)),"",IF(OR(NOT(ISNUMBER(F32)),NOT(ISNUMBER(G32))),"Lỗi nhập",IF(OR(G32&lt;=0,F32&lt;0,F32&gt;G32),"Lỗi nhập",F32/G32)))</x:f>
      </x:c>
      <x:c r="J32" s="21"/>
      <x:c r="K32" s="39"/>
      <x:c r="L32" s="40" t="str">
        <x:f>IF(NOT(OR(COUNT(F32:H32)&gt;0,LEN(F32&amp;G32&amp;H32)&gt;0)),"",IF(NOT(ISNUMBER(I32)),"Lỗi/thiếu số đúng-tổng",IF(OR(MOD(F32,1)&lt;&gt;0,MOD(G32,1)&lt;&gt;0),"Lỗi/thiếu số đúng-tổng",IF(OR(AND(B32&lt;&gt;"N4",B32&lt;&gt;"N3",B32&lt;&gt;"N2"),AND(C32&lt;&gt;"Từ và kanji",C32&lt;&gt;"Ngữ pháp",C32&lt;&gt;"Đọc",C32&lt;&gt;"Nghe")),"Sai cấp/kỹ năng",IF(OR(NOT(ISNUMBER(A32)),A32&lt;1),"Thiếu ngày đo",IF(D32="","Thiếu mã bài",IF(AND(E32&lt;&gt;"Mới",E32&lt;&gt;"Ôn lại"),"Thiếu loại câu",IF(OR(NOT(ISNUMBER(H32)),H32&lt;=0),"Thiếu phút",IF(AND(E32="Mới",COUNTIFS($B$8:$B$79,B32,$C$8:$C$79,C32,$D$8:$D$79,D32,$E$8:$E$79,"Mới",$G$8:$G$79,"&gt;0")&gt;1),"Trùng câu mới","Hợp lệ")))))))))</x:f>
      </x:c>
    </x:row>
    <x:row r="33" ht="25" customHeight="1">
      <x:c r="A33" s="28" t="n">
        <x:v>46331</x:v>
      </x:c>
      <x:c r="B33" s="20" t="str">
        <x:v>N4</x:v>
      </x:c>
      <x:c r="C33" s="20" t="str">
        <x:v>Ngữ pháp</x:v>
      </x:c>
      <x:c r="D33" s="21"/>
      <x:c r="E33" s="20"/>
      <x:c r="F33" s="24"/>
      <x:c r="G33" s="24"/>
      <x:c r="H33" s="24"/>
      <x:c r="I33" s="30" t="str">
        <x:f>IF(OR(ISBLANK(F33),ISBLANK(G33)),"",IF(OR(NOT(ISNUMBER(F33)),NOT(ISNUMBER(G33))),"Lỗi nhập",IF(OR(G33&lt;=0,F33&lt;0,F33&gt;G33),"Lỗi nhập",F33/G33)))</x:f>
      </x:c>
      <x:c r="J33" s="21"/>
      <x:c r="K33" s="39"/>
      <x:c r="L33" s="40" t="str">
        <x:f>IF(NOT(OR(COUNT(F33:H33)&gt;0,LEN(F33&amp;G33&amp;H33)&gt;0)),"",IF(NOT(ISNUMBER(I33)),"Lỗi/thiếu số đúng-tổng",IF(OR(MOD(F33,1)&lt;&gt;0,MOD(G33,1)&lt;&gt;0),"Lỗi/thiếu số đúng-tổng",IF(OR(AND(B33&lt;&gt;"N4",B33&lt;&gt;"N3",B33&lt;&gt;"N2"),AND(C33&lt;&gt;"Từ và kanji",C33&lt;&gt;"Ngữ pháp",C33&lt;&gt;"Đọc",C33&lt;&gt;"Nghe")),"Sai cấp/kỹ năng",IF(OR(NOT(ISNUMBER(A33)),A33&lt;1),"Thiếu ngày đo",IF(D33="","Thiếu mã bài",IF(AND(E33&lt;&gt;"Mới",E33&lt;&gt;"Ôn lại"),"Thiếu loại câu",IF(OR(NOT(ISNUMBER(H33)),H33&lt;=0),"Thiếu phút",IF(AND(E33="Mới",COUNTIFS($B$8:$B$79,B33,$C$8:$C$79,C33,$D$8:$D$79,D33,$E$8:$E$79,"Mới",$G$8:$G$79,"&gt;0")&gt;1),"Trùng câu mới","Hợp lệ")))))))))</x:f>
      </x:c>
    </x:row>
    <x:row r="34" ht="25" customHeight="1">
      <x:c r="A34" s="28" t="n">
        <x:v>46331</x:v>
      </x:c>
      <x:c r="B34" s="20" t="str">
        <x:v>N4</x:v>
      </x:c>
      <x:c r="C34" s="20" t="str">
        <x:v>Đọc</x:v>
      </x:c>
      <x:c r="D34" s="21"/>
      <x:c r="E34" s="20"/>
      <x:c r="F34" s="24"/>
      <x:c r="G34" s="24"/>
      <x:c r="H34" s="24"/>
      <x:c r="I34" s="30" t="str">
        <x:f>IF(OR(ISBLANK(F34),ISBLANK(G34)),"",IF(OR(NOT(ISNUMBER(F34)),NOT(ISNUMBER(G34))),"Lỗi nhập",IF(OR(G34&lt;=0,F34&lt;0,F34&gt;G34),"Lỗi nhập",F34/G34)))</x:f>
      </x:c>
      <x:c r="J34" s="21"/>
      <x:c r="K34" s="39"/>
      <x:c r="L34" s="40" t="str">
        <x:f>IF(NOT(OR(COUNT(F34:H34)&gt;0,LEN(F34&amp;G34&amp;H34)&gt;0)),"",IF(NOT(ISNUMBER(I34)),"Lỗi/thiếu số đúng-tổng",IF(OR(MOD(F34,1)&lt;&gt;0,MOD(G34,1)&lt;&gt;0),"Lỗi/thiếu số đúng-tổng",IF(OR(AND(B34&lt;&gt;"N4",B34&lt;&gt;"N3",B34&lt;&gt;"N2"),AND(C34&lt;&gt;"Từ và kanji",C34&lt;&gt;"Ngữ pháp",C34&lt;&gt;"Đọc",C34&lt;&gt;"Nghe")),"Sai cấp/kỹ năng",IF(OR(NOT(ISNUMBER(A34)),A34&lt;1),"Thiếu ngày đo",IF(D34="","Thiếu mã bài",IF(AND(E34&lt;&gt;"Mới",E34&lt;&gt;"Ôn lại"),"Thiếu loại câu",IF(OR(NOT(ISNUMBER(H34)),H34&lt;=0),"Thiếu phút",IF(AND(E34="Mới",COUNTIFS($B$8:$B$79,B34,$C$8:$C$79,C34,$D$8:$D$79,D34,$E$8:$E$79,"Mới",$G$8:$G$79,"&gt;0")&gt;1),"Trùng câu mới","Hợp lệ")))))))))</x:f>
      </x:c>
    </x:row>
    <x:row r="35" ht="25" customHeight="1">
      <x:c r="A35" s="28" t="n">
        <x:v>46331</x:v>
      </x:c>
      <x:c r="B35" s="20" t="str">
        <x:v>N4</x:v>
      </x:c>
      <x:c r="C35" s="20" t="str">
        <x:v>Nghe</x:v>
      </x:c>
      <x:c r="D35" s="21"/>
      <x:c r="E35" s="20"/>
      <x:c r="F35" s="24"/>
      <x:c r="G35" s="24"/>
      <x:c r="H35" s="24"/>
      <x:c r="I35" s="30" t="str">
        <x:f>IF(OR(ISBLANK(F35),ISBLANK(G35)),"",IF(OR(NOT(ISNUMBER(F35)),NOT(ISNUMBER(G35))),"Lỗi nhập",IF(OR(G35&lt;=0,F35&lt;0,F35&gt;G35),"Lỗi nhập",F35/G35)))</x:f>
      </x:c>
      <x:c r="J35" s="21"/>
      <x:c r="K35" s="39"/>
      <x:c r="L35" s="40" t="str">
        <x:f>IF(NOT(OR(COUNT(F35:H35)&gt;0,LEN(F35&amp;G35&amp;H35)&gt;0)),"",IF(NOT(ISNUMBER(I35)),"Lỗi/thiếu số đúng-tổng",IF(OR(MOD(F35,1)&lt;&gt;0,MOD(G35,1)&lt;&gt;0),"Lỗi/thiếu số đúng-tổng",IF(OR(AND(B35&lt;&gt;"N4",B35&lt;&gt;"N3",B35&lt;&gt;"N2"),AND(C35&lt;&gt;"Từ và kanji",C35&lt;&gt;"Ngữ pháp",C35&lt;&gt;"Đọc",C35&lt;&gt;"Nghe")),"Sai cấp/kỹ năng",IF(OR(NOT(ISNUMBER(A35)),A35&lt;1),"Thiếu ngày đo",IF(D35="","Thiếu mã bài",IF(AND(E35&lt;&gt;"Mới",E35&lt;&gt;"Ôn lại"),"Thiếu loại câu",IF(OR(NOT(ISNUMBER(H35)),H35&lt;=0),"Thiếu phút",IF(AND(E35="Mới",COUNTIFS($B$8:$B$79,B35,$C$8:$C$79,C35,$D$8:$D$79,D35,$E$8:$E$79,"Mới",$G$8:$G$79,"&gt;0")&gt;1),"Trùng câu mới","Hợp lệ")))))))))</x:f>
      </x:c>
    </x:row>
    <x:row r="36" ht="25" customHeight="1">
      <x:c r="A36" s="28" t="n">
        <x:v>46331</x:v>
      </x:c>
      <x:c r="B36" s="20" t="str">
        <x:v>N3</x:v>
      </x:c>
      <x:c r="C36" s="20" t="str">
        <x:v>Từ và kanji</x:v>
      </x:c>
      <x:c r="D36" s="21"/>
      <x:c r="E36" s="20"/>
      <x:c r="F36" s="24"/>
      <x:c r="G36" s="24"/>
      <x:c r="H36" s="24"/>
      <x:c r="I36" s="30" t="str">
        <x:f>IF(OR(ISBLANK(F36),ISBLANK(G36)),"",IF(OR(NOT(ISNUMBER(F36)),NOT(ISNUMBER(G36))),"Lỗi nhập",IF(OR(G36&lt;=0,F36&lt;0,F36&gt;G36),"Lỗi nhập",F36/G36)))</x:f>
      </x:c>
      <x:c r="J36" s="21"/>
      <x:c r="K36" s="39"/>
      <x:c r="L36" s="40" t="str">
        <x:f>IF(NOT(OR(COUNT(F36:H36)&gt;0,LEN(F36&amp;G36&amp;H36)&gt;0)),"",IF(NOT(ISNUMBER(I36)),"Lỗi/thiếu số đúng-tổng",IF(OR(MOD(F36,1)&lt;&gt;0,MOD(G36,1)&lt;&gt;0),"Lỗi/thiếu số đúng-tổng",IF(OR(AND(B36&lt;&gt;"N4",B36&lt;&gt;"N3",B36&lt;&gt;"N2"),AND(C36&lt;&gt;"Từ và kanji",C36&lt;&gt;"Ngữ pháp",C36&lt;&gt;"Đọc",C36&lt;&gt;"Nghe")),"Sai cấp/kỹ năng",IF(OR(NOT(ISNUMBER(A36)),A36&lt;1),"Thiếu ngày đo",IF(D36="","Thiếu mã bài",IF(AND(E36&lt;&gt;"Mới",E36&lt;&gt;"Ôn lại"),"Thiếu loại câu",IF(OR(NOT(ISNUMBER(H36)),H36&lt;=0),"Thiếu phút",IF(AND(E36="Mới",COUNTIFS($B$8:$B$79,B36,$C$8:$C$79,C36,$D$8:$D$79,D36,$E$8:$E$79,"Mới",$G$8:$G$79,"&gt;0")&gt;1),"Trùng câu mới","Hợp lệ")))))))))</x:f>
      </x:c>
    </x:row>
    <x:row r="37" ht="25" customHeight="1">
      <x:c r="A37" s="28" t="n">
        <x:v>46331</x:v>
      </x:c>
      <x:c r="B37" s="20" t="str">
        <x:v>N3</x:v>
      </x:c>
      <x:c r="C37" s="20" t="str">
        <x:v>Ngữ pháp</x:v>
      </x:c>
      <x:c r="D37" s="21"/>
      <x:c r="E37" s="20"/>
      <x:c r="F37" s="24"/>
      <x:c r="G37" s="24"/>
      <x:c r="H37" s="24"/>
      <x:c r="I37" s="30" t="str">
        <x:f>IF(OR(ISBLANK(F37),ISBLANK(G37)),"",IF(OR(NOT(ISNUMBER(F37)),NOT(ISNUMBER(G37))),"Lỗi nhập",IF(OR(G37&lt;=0,F37&lt;0,F37&gt;G37),"Lỗi nhập",F37/G37)))</x:f>
      </x:c>
      <x:c r="J37" s="21"/>
      <x:c r="K37" s="39"/>
      <x:c r="L37" s="40" t="str">
        <x:f>IF(NOT(OR(COUNT(F37:H37)&gt;0,LEN(F37&amp;G37&amp;H37)&gt;0)),"",IF(NOT(ISNUMBER(I37)),"Lỗi/thiếu số đúng-tổng",IF(OR(MOD(F37,1)&lt;&gt;0,MOD(G37,1)&lt;&gt;0),"Lỗi/thiếu số đúng-tổng",IF(OR(AND(B37&lt;&gt;"N4",B37&lt;&gt;"N3",B37&lt;&gt;"N2"),AND(C37&lt;&gt;"Từ và kanji",C37&lt;&gt;"Ngữ pháp",C37&lt;&gt;"Đọc",C37&lt;&gt;"Nghe")),"Sai cấp/kỹ năng",IF(OR(NOT(ISNUMBER(A37)),A37&lt;1),"Thiếu ngày đo",IF(D37="","Thiếu mã bài",IF(AND(E37&lt;&gt;"Mới",E37&lt;&gt;"Ôn lại"),"Thiếu loại câu",IF(OR(NOT(ISNUMBER(H37)),H37&lt;=0),"Thiếu phút",IF(AND(E37="Mới",COUNTIFS($B$8:$B$79,B37,$C$8:$C$79,C37,$D$8:$D$79,D37,$E$8:$E$79,"Mới",$G$8:$G$79,"&gt;0")&gt;1),"Trùng câu mới","Hợp lệ")))))))))</x:f>
      </x:c>
    </x:row>
    <x:row r="38" ht="25" customHeight="1">
      <x:c r="A38" s="28" t="n">
        <x:v>46331</x:v>
      </x:c>
      <x:c r="B38" s="20" t="str">
        <x:v>N3</x:v>
      </x:c>
      <x:c r="C38" s="20" t="str">
        <x:v>Đọc</x:v>
      </x:c>
      <x:c r="D38" s="21"/>
      <x:c r="E38" s="20"/>
      <x:c r="F38" s="24"/>
      <x:c r="G38" s="24"/>
      <x:c r="H38" s="24"/>
      <x:c r="I38" s="30" t="str">
        <x:f>IF(OR(ISBLANK(F38),ISBLANK(G38)),"",IF(OR(NOT(ISNUMBER(F38)),NOT(ISNUMBER(G38))),"Lỗi nhập",IF(OR(G38&lt;=0,F38&lt;0,F38&gt;G38),"Lỗi nhập",F38/G38)))</x:f>
      </x:c>
      <x:c r="J38" s="21"/>
      <x:c r="K38" s="39"/>
      <x:c r="L38" s="40" t="str">
        <x:f>IF(NOT(OR(COUNT(F38:H38)&gt;0,LEN(F38&amp;G38&amp;H38)&gt;0)),"",IF(NOT(ISNUMBER(I38)),"Lỗi/thiếu số đúng-tổng",IF(OR(MOD(F38,1)&lt;&gt;0,MOD(G38,1)&lt;&gt;0),"Lỗi/thiếu số đúng-tổng",IF(OR(AND(B38&lt;&gt;"N4",B38&lt;&gt;"N3",B38&lt;&gt;"N2"),AND(C38&lt;&gt;"Từ và kanji",C38&lt;&gt;"Ngữ pháp",C38&lt;&gt;"Đọc",C38&lt;&gt;"Nghe")),"Sai cấp/kỹ năng",IF(OR(NOT(ISNUMBER(A38)),A38&lt;1),"Thiếu ngày đo",IF(D38="","Thiếu mã bài",IF(AND(E38&lt;&gt;"Mới",E38&lt;&gt;"Ôn lại"),"Thiếu loại câu",IF(OR(NOT(ISNUMBER(H38)),H38&lt;=0),"Thiếu phút",IF(AND(E38="Mới",COUNTIFS($B$8:$B$79,B38,$C$8:$C$79,C38,$D$8:$D$79,D38,$E$8:$E$79,"Mới",$G$8:$G$79,"&gt;0")&gt;1),"Trùng câu mới","Hợp lệ")))))))))</x:f>
      </x:c>
    </x:row>
    <x:row r="39" ht="25" customHeight="1">
      <x:c r="A39" s="28" t="n">
        <x:v>46331</x:v>
      </x:c>
      <x:c r="B39" s="20" t="str">
        <x:v>N3</x:v>
      </x:c>
      <x:c r="C39" s="20" t="str">
        <x:v>Nghe</x:v>
      </x:c>
      <x:c r="D39" s="21"/>
      <x:c r="E39" s="20"/>
      <x:c r="F39" s="24"/>
      <x:c r="G39" s="24"/>
      <x:c r="H39" s="24"/>
      <x:c r="I39" s="30" t="str">
        <x:f>IF(OR(ISBLANK(F39),ISBLANK(G39)),"",IF(OR(NOT(ISNUMBER(F39)),NOT(ISNUMBER(G39))),"Lỗi nhập",IF(OR(G39&lt;=0,F39&lt;0,F39&gt;G39),"Lỗi nhập",F39/G39)))</x:f>
      </x:c>
      <x:c r="J39" s="21"/>
      <x:c r="K39" s="39"/>
      <x:c r="L39" s="40" t="str">
        <x:f>IF(NOT(OR(COUNT(F39:H39)&gt;0,LEN(F39&amp;G39&amp;H39)&gt;0)),"",IF(NOT(ISNUMBER(I39)),"Lỗi/thiếu số đúng-tổng",IF(OR(MOD(F39,1)&lt;&gt;0,MOD(G39,1)&lt;&gt;0),"Lỗi/thiếu số đúng-tổng",IF(OR(AND(B39&lt;&gt;"N4",B39&lt;&gt;"N3",B39&lt;&gt;"N2"),AND(C39&lt;&gt;"Từ và kanji",C39&lt;&gt;"Ngữ pháp",C39&lt;&gt;"Đọc",C39&lt;&gt;"Nghe")),"Sai cấp/kỹ năng",IF(OR(NOT(ISNUMBER(A39)),A39&lt;1),"Thiếu ngày đo",IF(D39="","Thiếu mã bài",IF(AND(E39&lt;&gt;"Mới",E39&lt;&gt;"Ôn lại"),"Thiếu loại câu",IF(OR(NOT(ISNUMBER(H39)),H39&lt;=0),"Thiếu phút",IF(AND(E39="Mới",COUNTIFS($B$8:$B$79,B39,$C$8:$C$79,C39,$D$8:$D$79,D39,$E$8:$E$79,"Mới",$G$8:$G$79,"&gt;0")&gt;1),"Trùng câu mới","Hợp lệ")))))))))</x:f>
      </x:c>
    </x:row>
    <x:row r="40" ht="25" customHeight="1">
      <x:c r="A40" s="28" t="n">
        <x:v>46338</x:v>
      </x:c>
      <x:c r="B40" s="20" t="str">
        <x:v>N4</x:v>
      </x:c>
      <x:c r="C40" s="20" t="str">
        <x:v>Từ và kanji</x:v>
      </x:c>
      <x:c r="D40" s="21"/>
      <x:c r="E40" s="20"/>
      <x:c r="F40" s="24"/>
      <x:c r="G40" s="24"/>
      <x:c r="H40" s="24"/>
      <x:c r="I40" s="30" t="str">
        <x:f>IF(OR(ISBLANK(F40),ISBLANK(G40)),"",IF(OR(NOT(ISNUMBER(F40)),NOT(ISNUMBER(G40))),"Lỗi nhập",IF(OR(G40&lt;=0,F40&lt;0,F40&gt;G40),"Lỗi nhập",F40/G40)))</x:f>
      </x:c>
      <x:c r="J40" s="21"/>
      <x:c r="K40" s="39"/>
      <x:c r="L40" s="40" t="str">
        <x:f>IF(NOT(OR(COUNT(F40:H40)&gt;0,LEN(F40&amp;G40&amp;H40)&gt;0)),"",IF(NOT(ISNUMBER(I40)),"Lỗi/thiếu số đúng-tổng",IF(OR(MOD(F40,1)&lt;&gt;0,MOD(G40,1)&lt;&gt;0),"Lỗi/thiếu số đúng-tổng",IF(OR(AND(B40&lt;&gt;"N4",B40&lt;&gt;"N3",B40&lt;&gt;"N2"),AND(C40&lt;&gt;"Từ và kanji",C40&lt;&gt;"Ngữ pháp",C40&lt;&gt;"Đọc",C40&lt;&gt;"Nghe")),"Sai cấp/kỹ năng",IF(OR(NOT(ISNUMBER(A40)),A40&lt;1),"Thiếu ngày đo",IF(D40="","Thiếu mã bài",IF(AND(E40&lt;&gt;"Mới",E40&lt;&gt;"Ôn lại"),"Thiếu loại câu",IF(OR(NOT(ISNUMBER(H40)),H40&lt;=0),"Thiếu phút",IF(AND(E40="Mới",COUNTIFS($B$8:$B$79,B40,$C$8:$C$79,C40,$D$8:$D$79,D40,$E$8:$E$79,"Mới",$G$8:$G$79,"&gt;0")&gt;1),"Trùng câu mới","Hợp lệ")))))))))</x:f>
      </x:c>
    </x:row>
    <x:row r="41" ht="25" customHeight="1">
      <x:c r="A41" s="28" t="n">
        <x:v>46338</x:v>
      </x:c>
      <x:c r="B41" s="20" t="str">
        <x:v>N4</x:v>
      </x:c>
      <x:c r="C41" s="20" t="str">
        <x:v>Ngữ pháp</x:v>
      </x:c>
      <x:c r="D41" s="21"/>
      <x:c r="E41" s="20"/>
      <x:c r="F41" s="24"/>
      <x:c r="G41" s="24"/>
      <x:c r="H41" s="24"/>
      <x:c r="I41" s="30" t="str">
        <x:f>IF(OR(ISBLANK(F41),ISBLANK(G41)),"",IF(OR(NOT(ISNUMBER(F41)),NOT(ISNUMBER(G41))),"Lỗi nhập",IF(OR(G41&lt;=0,F41&lt;0,F41&gt;G41),"Lỗi nhập",F41/G41)))</x:f>
      </x:c>
      <x:c r="J41" s="21"/>
      <x:c r="K41" s="39"/>
      <x:c r="L41" s="40" t="str">
        <x:f>IF(NOT(OR(COUNT(F41:H41)&gt;0,LEN(F41&amp;G41&amp;H41)&gt;0)),"",IF(NOT(ISNUMBER(I41)),"Lỗi/thiếu số đúng-tổng",IF(OR(MOD(F41,1)&lt;&gt;0,MOD(G41,1)&lt;&gt;0),"Lỗi/thiếu số đúng-tổng",IF(OR(AND(B41&lt;&gt;"N4",B41&lt;&gt;"N3",B41&lt;&gt;"N2"),AND(C41&lt;&gt;"Từ và kanji",C41&lt;&gt;"Ngữ pháp",C41&lt;&gt;"Đọc",C41&lt;&gt;"Nghe")),"Sai cấp/kỹ năng",IF(OR(NOT(ISNUMBER(A41)),A41&lt;1),"Thiếu ngày đo",IF(D41="","Thiếu mã bài",IF(AND(E41&lt;&gt;"Mới",E41&lt;&gt;"Ôn lại"),"Thiếu loại câu",IF(OR(NOT(ISNUMBER(H41)),H41&lt;=0),"Thiếu phút",IF(AND(E41="Mới",COUNTIFS($B$8:$B$79,B41,$C$8:$C$79,C41,$D$8:$D$79,D41,$E$8:$E$79,"Mới",$G$8:$G$79,"&gt;0")&gt;1),"Trùng câu mới","Hợp lệ")))))))))</x:f>
      </x:c>
    </x:row>
    <x:row r="42" ht="25" customHeight="1">
      <x:c r="A42" s="28" t="n">
        <x:v>46338</x:v>
      </x:c>
      <x:c r="B42" s="20" t="str">
        <x:v>N4</x:v>
      </x:c>
      <x:c r="C42" s="20" t="str">
        <x:v>Đọc</x:v>
      </x:c>
      <x:c r="D42" s="21"/>
      <x:c r="E42" s="20"/>
      <x:c r="F42" s="24"/>
      <x:c r="G42" s="24"/>
      <x:c r="H42" s="24"/>
      <x:c r="I42" s="30" t="str">
        <x:f>IF(OR(ISBLANK(F42),ISBLANK(G42)),"",IF(OR(NOT(ISNUMBER(F42)),NOT(ISNUMBER(G42))),"Lỗi nhập",IF(OR(G42&lt;=0,F42&lt;0,F42&gt;G42),"Lỗi nhập",F42/G42)))</x:f>
      </x:c>
      <x:c r="J42" s="21"/>
      <x:c r="K42" s="39"/>
      <x:c r="L42" s="40" t="str">
        <x:f>IF(NOT(OR(COUNT(F42:H42)&gt;0,LEN(F42&amp;G42&amp;H42)&gt;0)),"",IF(NOT(ISNUMBER(I42)),"Lỗi/thiếu số đúng-tổng",IF(OR(MOD(F42,1)&lt;&gt;0,MOD(G42,1)&lt;&gt;0),"Lỗi/thiếu số đúng-tổng",IF(OR(AND(B42&lt;&gt;"N4",B42&lt;&gt;"N3",B42&lt;&gt;"N2"),AND(C42&lt;&gt;"Từ và kanji",C42&lt;&gt;"Ngữ pháp",C42&lt;&gt;"Đọc",C42&lt;&gt;"Nghe")),"Sai cấp/kỹ năng",IF(OR(NOT(ISNUMBER(A42)),A42&lt;1),"Thiếu ngày đo",IF(D42="","Thiếu mã bài",IF(AND(E42&lt;&gt;"Mới",E42&lt;&gt;"Ôn lại"),"Thiếu loại câu",IF(OR(NOT(ISNUMBER(H42)),H42&lt;=0),"Thiếu phút",IF(AND(E42="Mới",COUNTIFS($B$8:$B$79,B42,$C$8:$C$79,C42,$D$8:$D$79,D42,$E$8:$E$79,"Mới",$G$8:$G$79,"&gt;0")&gt;1),"Trùng câu mới","Hợp lệ")))))))))</x:f>
      </x:c>
    </x:row>
    <x:row r="43" ht="25" customHeight="1">
      <x:c r="A43" s="28" t="n">
        <x:v>46338</x:v>
      </x:c>
      <x:c r="B43" s="20" t="str">
        <x:v>N4</x:v>
      </x:c>
      <x:c r="C43" s="20" t="str">
        <x:v>Nghe</x:v>
      </x:c>
      <x:c r="D43" s="21"/>
      <x:c r="E43" s="20"/>
      <x:c r="F43" s="24"/>
      <x:c r="G43" s="24"/>
      <x:c r="H43" s="24"/>
      <x:c r="I43" s="30" t="str">
        <x:f>IF(OR(ISBLANK(F43),ISBLANK(G43)),"",IF(OR(NOT(ISNUMBER(F43)),NOT(ISNUMBER(G43))),"Lỗi nhập",IF(OR(G43&lt;=0,F43&lt;0,F43&gt;G43),"Lỗi nhập",F43/G43)))</x:f>
      </x:c>
      <x:c r="J43" s="21"/>
      <x:c r="K43" s="39"/>
      <x:c r="L43" s="40" t="str">
        <x:f>IF(NOT(OR(COUNT(F43:H43)&gt;0,LEN(F43&amp;G43&amp;H43)&gt;0)),"",IF(NOT(ISNUMBER(I43)),"Lỗi/thiếu số đúng-tổng",IF(OR(MOD(F43,1)&lt;&gt;0,MOD(G43,1)&lt;&gt;0),"Lỗi/thiếu số đúng-tổng",IF(OR(AND(B43&lt;&gt;"N4",B43&lt;&gt;"N3",B43&lt;&gt;"N2"),AND(C43&lt;&gt;"Từ và kanji",C43&lt;&gt;"Ngữ pháp",C43&lt;&gt;"Đọc",C43&lt;&gt;"Nghe")),"Sai cấp/kỹ năng",IF(OR(NOT(ISNUMBER(A43)),A43&lt;1),"Thiếu ngày đo",IF(D43="","Thiếu mã bài",IF(AND(E43&lt;&gt;"Mới",E43&lt;&gt;"Ôn lại"),"Thiếu loại câu",IF(OR(NOT(ISNUMBER(H43)),H43&lt;=0),"Thiếu phút",IF(AND(E43="Mới",COUNTIFS($B$8:$B$79,B43,$C$8:$C$79,C43,$D$8:$D$79,D43,$E$8:$E$79,"Mới",$G$8:$G$79,"&gt;0")&gt;1),"Trùng câu mới","Hợp lệ")))))))))</x:f>
      </x:c>
    </x:row>
    <x:row r="44" ht="25" customHeight="1">
      <x:c r="A44" s="28" t="n">
        <x:v>46338</x:v>
      </x:c>
      <x:c r="B44" s="20" t="str">
        <x:v>N3</x:v>
      </x:c>
      <x:c r="C44" s="20" t="str">
        <x:v>Từ và kanji</x:v>
      </x:c>
      <x:c r="D44" s="21"/>
      <x:c r="E44" s="20"/>
      <x:c r="F44" s="24"/>
      <x:c r="G44" s="24"/>
      <x:c r="H44" s="24"/>
      <x:c r="I44" s="30" t="str">
        <x:f>IF(OR(ISBLANK(F44),ISBLANK(G44)),"",IF(OR(NOT(ISNUMBER(F44)),NOT(ISNUMBER(G44))),"Lỗi nhập",IF(OR(G44&lt;=0,F44&lt;0,F44&gt;G44),"Lỗi nhập",F44/G44)))</x:f>
      </x:c>
      <x:c r="J44" s="21"/>
      <x:c r="K44" s="39"/>
      <x:c r="L44" s="40" t="str">
        <x:f>IF(NOT(OR(COUNT(F44:H44)&gt;0,LEN(F44&amp;G44&amp;H44)&gt;0)),"",IF(NOT(ISNUMBER(I44)),"Lỗi/thiếu số đúng-tổng",IF(OR(MOD(F44,1)&lt;&gt;0,MOD(G44,1)&lt;&gt;0),"Lỗi/thiếu số đúng-tổng",IF(OR(AND(B44&lt;&gt;"N4",B44&lt;&gt;"N3",B44&lt;&gt;"N2"),AND(C44&lt;&gt;"Từ và kanji",C44&lt;&gt;"Ngữ pháp",C44&lt;&gt;"Đọc",C44&lt;&gt;"Nghe")),"Sai cấp/kỹ năng",IF(OR(NOT(ISNUMBER(A44)),A44&lt;1),"Thiếu ngày đo",IF(D44="","Thiếu mã bài",IF(AND(E44&lt;&gt;"Mới",E44&lt;&gt;"Ôn lại"),"Thiếu loại câu",IF(OR(NOT(ISNUMBER(H44)),H44&lt;=0),"Thiếu phút",IF(AND(E44="Mới",COUNTIFS($B$8:$B$79,B44,$C$8:$C$79,C44,$D$8:$D$79,D44,$E$8:$E$79,"Mới",$G$8:$G$79,"&gt;0")&gt;1),"Trùng câu mới","Hợp lệ")))))))))</x:f>
      </x:c>
    </x:row>
    <x:row r="45" ht="25" customHeight="1">
      <x:c r="A45" s="28" t="n">
        <x:v>46338</x:v>
      </x:c>
      <x:c r="B45" s="20" t="str">
        <x:v>N3</x:v>
      </x:c>
      <x:c r="C45" s="20" t="str">
        <x:v>Ngữ pháp</x:v>
      </x:c>
      <x:c r="D45" s="21"/>
      <x:c r="E45" s="20"/>
      <x:c r="F45" s="24"/>
      <x:c r="G45" s="24"/>
      <x:c r="H45" s="24"/>
      <x:c r="I45" s="30" t="str">
        <x:f>IF(OR(ISBLANK(F45),ISBLANK(G45)),"",IF(OR(NOT(ISNUMBER(F45)),NOT(ISNUMBER(G45))),"Lỗi nhập",IF(OR(G45&lt;=0,F45&lt;0,F45&gt;G45),"Lỗi nhập",F45/G45)))</x:f>
      </x:c>
      <x:c r="J45" s="21"/>
      <x:c r="K45" s="39"/>
      <x:c r="L45" s="40" t="str">
        <x:f>IF(NOT(OR(COUNT(F45:H45)&gt;0,LEN(F45&amp;G45&amp;H45)&gt;0)),"",IF(NOT(ISNUMBER(I45)),"Lỗi/thiếu số đúng-tổng",IF(OR(MOD(F45,1)&lt;&gt;0,MOD(G45,1)&lt;&gt;0),"Lỗi/thiếu số đúng-tổng",IF(OR(AND(B45&lt;&gt;"N4",B45&lt;&gt;"N3",B45&lt;&gt;"N2"),AND(C45&lt;&gt;"Từ và kanji",C45&lt;&gt;"Ngữ pháp",C45&lt;&gt;"Đọc",C45&lt;&gt;"Nghe")),"Sai cấp/kỹ năng",IF(OR(NOT(ISNUMBER(A45)),A45&lt;1),"Thiếu ngày đo",IF(D45="","Thiếu mã bài",IF(AND(E45&lt;&gt;"Mới",E45&lt;&gt;"Ôn lại"),"Thiếu loại câu",IF(OR(NOT(ISNUMBER(H45)),H45&lt;=0),"Thiếu phút",IF(AND(E45="Mới",COUNTIFS($B$8:$B$79,B45,$C$8:$C$79,C45,$D$8:$D$79,D45,$E$8:$E$79,"Mới",$G$8:$G$79,"&gt;0")&gt;1),"Trùng câu mới","Hợp lệ")))))))))</x:f>
      </x:c>
    </x:row>
    <x:row r="46" ht="25" customHeight="1">
      <x:c r="A46" s="28" t="n">
        <x:v>46338</x:v>
      </x:c>
      <x:c r="B46" s="20" t="str">
        <x:v>N3</x:v>
      </x:c>
      <x:c r="C46" s="20" t="str">
        <x:v>Đọc</x:v>
      </x:c>
      <x:c r="D46" s="21"/>
      <x:c r="E46" s="20"/>
      <x:c r="F46" s="24"/>
      <x:c r="G46" s="24"/>
      <x:c r="H46" s="24"/>
      <x:c r="I46" s="30" t="str">
        <x:f>IF(OR(ISBLANK(F46),ISBLANK(G46)),"",IF(OR(NOT(ISNUMBER(F46)),NOT(ISNUMBER(G46))),"Lỗi nhập",IF(OR(G46&lt;=0,F46&lt;0,F46&gt;G46),"Lỗi nhập",F46/G46)))</x:f>
      </x:c>
      <x:c r="J46" s="21"/>
      <x:c r="K46" s="39"/>
      <x:c r="L46" s="40" t="str">
        <x:f>IF(NOT(OR(COUNT(F46:H46)&gt;0,LEN(F46&amp;G46&amp;H46)&gt;0)),"",IF(NOT(ISNUMBER(I46)),"Lỗi/thiếu số đúng-tổng",IF(OR(MOD(F46,1)&lt;&gt;0,MOD(G46,1)&lt;&gt;0),"Lỗi/thiếu số đúng-tổng",IF(OR(AND(B46&lt;&gt;"N4",B46&lt;&gt;"N3",B46&lt;&gt;"N2"),AND(C46&lt;&gt;"Từ và kanji",C46&lt;&gt;"Ngữ pháp",C46&lt;&gt;"Đọc",C46&lt;&gt;"Nghe")),"Sai cấp/kỹ năng",IF(OR(NOT(ISNUMBER(A46)),A46&lt;1),"Thiếu ngày đo",IF(D46="","Thiếu mã bài",IF(AND(E46&lt;&gt;"Mới",E46&lt;&gt;"Ôn lại"),"Thiếu loại câu",IF(OR(NOT(ISNUMBER(H46)),H46&lt;=0),"Thiếu phút",IF(AND(E46="Mới",COUNTIFS($B$8:$B$79,B46,$C$8:$C$79,C46,$D$8:$D$79,D46,$E$8:$E$79,"Mới",$G$8:$G$79,"&gt;0")&gt;1),"Trùng câu mới","Hợp lệ")))))))))</x:f>
      </x:c>
    </x:row>
    <x:row r="47" ht="25" customHeight="1">
      <x:c r="A47" s="28" t="n">
        <x:v>46338</x:v>
      </x:c>
      <x:c r="B47" s="20" t="str">
        <x:v>N3</x:v>
      </x:c>
      <x:c r="C47" s="20" t="str">
        <x:v>Nghe</x:v>
      </x:c>
      <x:c r="D47" s="21"/>
      <x:c r="E47" s="20"/>
      <x:c r="F47" s="24"/>
      <x:c r="G47" s="24"/>
      <x:c r="H47" s="24"/>
      <x:c r="I47" s="30" t="str">
        <x:f>IF(OR(ISBLANK(F47),ISBLANK(G47)),"",IF(OR(NOT(ISNUMBER(F47)),NOT(ISNUMBER(G47))),"Lỗi nhập",IF(OR(G47&lt;=0,F47&lt;0,F47&gt;G47),"Lỗi nhập",F47/G47)))</x:f>
      </x:c>
      <x:c r="J47" s="21"/>
      <x:c r="K47" s="39"/>
      <x:c r="L47" s="40" t="str">
        <x:f>IF(NOT(OR(COUNT(F47:H47)&gt;0,LEN(F47&amp;G47&amp;H47)&gt;0)),"",IF(NOT(ISNUMBER(I47)),"Lỗi/thiếu số đúng-tổng",IF(OR(MOD(F47,1)&lt;&gt;0,MOD(G47,1)&lt;&gt;0),"Lỗi/thiếu số đúng-tổng",IF(OR(AND(B47&lt;&gt;"N4",B47&lt;&gt;"N3",B47&lt;&gt;"N2"),AND(C47&lt;&gt;"Từ và kanji",C47&lt;&gt;"Ngữ pháp",C47&lt;&gt;"Đọc",C47&lt;&gt;"Nghe")),"Sai cấp/kỹ năng",IF(OR(NOT(ISNUMBER(A47)),A47&lt;1),"Thiếu ngày đo",IF(D47="","Thiếu mã bài",IF(AND(E47&lt;&gt;"Mới",E47&lt;&gt;"Ôn lại"),"Thiếu loại câu",IF(OR(NOT(ISNUMBER(H47)),H47&lt;=0),"Thiếu phút",IF(AND(E47="Mới",COUNTIFS($B$8:$B$79,B47,$C$8:$C$79,C47,$D$8:$D$79,D47,$E$8:$E$79,"Mới",$G$8:$G$79,"&gt;0")&gt;1),"Trùng câu mới","Hợp lệ")))))))))</x:f>
      </x:c>
    </x:row>
    <x:row r="48" ht="25" customHeight="1">
      <x:c r="A48" s="28" t="n">
        <x:v>46345</x:v>
      </x:c>
      <x:c r="B48" s="20" t="str">
        <x:v>N4</x:v>
      </x:c>
      <x:c r="C48" s="20" t="str">
        <x:v>Từ và kanji</x:v>
      </x:c>
      <x:c r="D48" s="21"/>
      <x:c r="E48" s="20"/>
      <x:c r="F48" s="24"/>
      <x:c r="G48" s="24"/>
      <x:c r="H48" s="24"/>
      <x:c r="I48" s="30" t="str">
        <x:f>IF(OR(ISBLANK(F48),ISBLANK(G48)),"",IF(OR(NOT(ISNUMBER(F48)),NOT(ISNUMBER(G48))),"Lỗi nhập",IF(OR(G48&lt;=0,F48&lt;0,F48&gt;G48),"Lỗi nhập",F48/G48)))</x:f>
      </x:c>
      <x:c r="J48" s="21"/>
      <x:c r="K48" s="39"/>
      <x:c r="L48" s="40" t="str">
        <x:f>IF(NOT(OR(COUNT(F48:H48)&gt;0,LEN(F48&amp;G48&amp;H48)&gt;0)),"",IF(NOT(ISNUMBER(I48)),"Lỗi/thiếu số đúng-tổng",IF(OR(MOD(F48,1)&lt;&gt;0,MOD(G48,1)&lt;&gt;0),"Lỗi/thiếu số đúng-tổng",IF(OR(AND(B48&lt;&gt;"N4",B48&lt;&gt;"N3",B48&lt;&gt;"N2"),AND(C48&lt;&gt;"Từ và kanji",C48&lt;&gt;"Ngữ pháp",C48&lt;&gt;"Đọc",C48&lt;&gt;"Nghe")),"Sai cấp/kỹ năng",IF(OR(NOT(ISNUMBER(A48)),A48&lt;1),"Thiếu ngày đo",IF(D48="","Thiếu mã bài",IF(AND(E48&lt;&gt;"Mới",E48&lt;&gt;"Ôn lại"),"Thiếu loại câu",IF(OR(NOT(ISNUMBER(H48)),H48&lt;=0),"Thiếu phút",IF(AND(E48="Mới",COUNTIFS($B$8:$B$79,B48,$C$8:$C$79,C48,$D$8:$D$79,D48,$E$8:$E$79,"Mới",$G$8:$G$79,"&gt;0")&gt;1),"Trùng câu mới","Hợp lệ")))))))))</x:f>
      </x:c>
    </x:row>
    <x:row r="49" ht="25" customHeight="1">
      <x:c r="A49" s="28" t="n">
        <x:v>46345</x:v>
      </x:c>
      <x:c r="B49" s="20" t="str">
        <x:v>N4</x:v>
      </x:c>
      <x:c r="C49" s="20" t="str">
        <x:v>Ngữ pháp</x:v>
      </x:c>
      <x:c r="D49" s="21"/>
      <x:c r="E49" s="20"/>
      <x:c r="F49" s="24"/>
      <x:c r="G49" s="24"/>
      <x:c r="H49" s="24"/>
      <x:c r="I49" s="30" t="str">
        <x:f>IF(OR(ISBLANK(F49),ISBLANK(G49)),"",IF(OR(NOT(ISNUMBER(F49)),NOT(ISNUMBER(G49))),"Lỗi nhập",IF(OR(G49&lt;=0,F49&lt;0,F49&gt;G49),"Lỗi nhập",F49/G49)))</x:f>
      </x:c>
      <x:c r="J49" s="21"/>
      <x:c r="K49" s="39"/>
      <x:c r="L49" s="40" t="str">
        <x:f>IF(NOT(OR(COUNT(F49:H49)&gt;0,LEN(F49&amp;G49&amp;H49)&gt;0)),"",IF(NOT(ISNUMBER(I49)),"Lỗi/thiếu số đúng-tổng",IF(OR(MOD(F49,1)&lt;&gt;0,MOD(G49,1)&lt;&gt;0),"Lỗi/thiếu số đúng-tổng",IF(OR(AND(B49&lt;&gt;"N4",B49&lt;&gt;"N3",B49&lt;&gt;"N2"),AND(C49&lt;&gt;"Từ và kanji",C49&lt;&gt;"Ngữ pháp",C49&lt;&gt;"Đọc",C49&lt;&gt;"Nghe")),"Sai cấp/kỹ năng",IF(OR(NOT(ISNUMBER(A49)),A49&lt;1),"Thiếu ngày đo",IF(D49="","Thiếu mã bài",IF(AND(E49&lt;&gt;"Mới",E49&lt;&gt;"Ôn lại"),"Thiếu loại câu",IF(OR(NOT(ISNUMBER(H49)),H49&lt;=0),"Thiếu phút",IF(AND(E49="Mới",COUNTIFS($B$8:$B$79,B49,$C$8:$C$79,C49,$D$8:$D$79,D49,$E$8:$E$79,"Mới",$G$8:$G$79,"&gt;0")&gt;1),"Trùng câu mới","Hợp lệ")))))))))</x:f>
      </x:c>
    </x:row>
    <x:row r="50" ht="25" customHeight="1">
      <x:c r="A50" s="28" t="n">
        <x:v>46345</x:v>
      </x:c>
      <x:c r="B50" s="20" t="str">
        <x:v>N4</x:v>
      </x:c>
      <x:c r="C50" s="20" t="str">
        <x:v>Đọc</x:v>
      </x:c>
      <x:c r="D50" s="21"/>
      <x:c r="E50" s="20"/>
      <x:c r="F50" s="24"/>
      <x:c r="G50" s="24"/>
      <x:c r="H50" s="24"/>
      <x:c r="I50" s="30" t="str">
        <x:f>IF(OR(ISBLANK(F50),ISBLANK(G50)),"",IF(OR(NOT(ISNUMBER(F50)),NOT(ISNUMBER(G50))),"Lỗi nhập",IF(OR(G50&lt;=0,F50&lt;0,F50&gt;G50),"Lỗi nhập",F50/G50)))</x:f>
      </x:c>
      <x:c r="J50" s="21"/>
      <x:c r="K50" s="39"/>
      <x:c r="L50" s="40" t="str">
        <x:f>IF(NOT(OR(COUNT(F50:H50)&gt;0,LEN(F50&amp;G50&amp;H50)&gt;0)),"",IF(NOT(ISNUMBER(I50)),"Lỗi/thiếu số đúng-tổng",IF(OR(MOD(F50,1)&lt;&gt;0,MOD(G50,1)&lt;&gt;0),"Lỗi/thiếu số đúng-tổng",IF(OR(AND(B50&lt;&gt;"N4",B50&lt;&gt;"N3",B50&lt;&gt;"N2"),AND(C50&lt;&gt;"Từ và kanji",C50&lt;&gt;"Ngữ pháp",C50&lt;&gt;"Đọc",C50&lt;&gt;"Nghe")),"Sai cấp/kỹ năng",IF(OR(NOT(ISNUMBER(A50)),A50&lt;1),"Thiếu ngày đo",IF(D50="","Thiếu mã bài",IF(AND(E50&lt;&gt;"Mới",E50&lt;&gt;"Ôn lại"),"Thiếu loại câu",IF(OR(NOT(ISNUMBER(H50)),H50&lt;=0),"Thiếu phút",IF(AND(E50="Mới",COUNTIFS($B$8:$B$79,B50,$C$8:$C$79,C50,$D$8:$D$79,D50,$E$8:$E$79,"Mới",$G$8:$G$79,"&gt;0")&gt;1),"Trùng câu mới","Hợp lệ")))))))))</x:f>
      </x:c>
    </x:row>
    <x:row r="51" ht="25" customHeight="1">
      <x:c r="A51" s="28" t="n">
        <x:v>46345</x:v>
      </x:c>
      <x:c r="B51" s="20" t="str">
        <x:v>N4</x:v>
      </x:c>
      <x:c r="C51" s="20" t="str">
        <x:v>Nghe</x:v>
      </x:c>
      <x:c r="D51" s="21"/>
      <x:c r="E51" s="20"/>
      <x:c r="F51" s="24"/>
      <x:c r="G51" s="24"/>
      <x:c r="H51" s="24"/>
      <x:c r="I51" s="30" t="str">
        <x:f>IF(OR(ISBLANK(F51),ISBLANK(G51)),"",IF(OR(NOT(ISNUMBER(F51)),NOT(ISNUMBER(G51))),"Lỗi nhập",IF(OR(G51&lt;=0,F51&lt;0,F51&gt;G51),"Lỗi nhập",F51/G51)))</x:f>
      </x:c>
      <x:c r="J51" s="21"/>
      <x:c r="K51" s="39"/>
      <x:c r="L51" s="40" t="str">
        <x:f>IF(NOT(OR(COUNT(F51:H51)&gt;0,LEN(F51&amp;G51&amp;H51)&gt;0)),"",IF(NOT(ISNUMBER(I51)),"Lỗi/thiếu số đúng-tổng",IF(OR(MOD(F51,1)&lt;&gt;0,MOD(G51,1)&lt;&gt;0),"Lỗi/thiếu số đúng-tổng",IF(OR(AND(B51&lt;&gt;"N4",B51&lt;&gt;"N3",B51&lt;&gt;"N2"),AND(C51&lt;&gt;"Từ và kanji",C51&lt;&gt;"Ngữ pháp",C51&lt;&gt;"Đọc",C51&lt;&gt;"Nghe")),"Sai cấp/kỹ năng",IF(OR(NOT(ISNUMBER(A51)),A51&lt;1),"Thiếu ngày đo",IF(D51="","Thiếu mã bài",IF(AND(E51&lt;&gt;"Mới",E51&lt;&gt;"Ôn lại"),"Thiếu loại câu",IF(OR(NOT(ISNUMBER(H51)),H51&lt;=0),"Thiếu phút",IF(AND(E51="Mới",COUNTIFS($B$8:$B$79,B51,$C$8:$C$79,C51,$D$8:$D$79,D51,$E$8:$E$79,"Mới",$G$8:$G$79,"&gt;0")&gt;1),"Trùng câu mới","Hợp lệ")))))))))</x:f>
      </x:c>
    </x:row>
    <x:row r="52" ht="25" customHeight="1">
      <x:c r="A52" s="28" t="n">
        <x:v>46345</x:v>
      </x:c>
      <x:c r="B52" s="20" t="str">
        <x:v>N3</x:v>
      </x:c>
      <x:c r="C52" s="20" t="str">
        <x:v>Từ và kanji</x:v>
      </x:c>
      <x:c r="D52" s="21"/>
      <x:c r="E52" s="20"/>
      <x:c r="F52" s="24"/>
      <x:c r="G52" s="24"/>
      <x:c r="H52" s="24"/>
      <x:c r="I52" s="30" t="str">
        <x:f>IF(OR(ISBLANK(F52),ISBLANK(G52)),"",IF(OR(NOT(ISNUMBER(F52)),NOT(ISNUMBER(G52))),"Lỗi nhập",IF(OR(G52&lt;=0,F52&lt;0,F52&gt;G52),"Lỗi nhập",F52/G52)))</x:f>
      </x:c>
      <x:c r="J52" s="21"/>
      <x:c r="K52" s="39"/>
      <x:c r="L52" s="40" t="str">
        <x:f>IF(NOT(OR(COUNT(F52:H52)&gt;0,LEN(F52&amp;G52&amp;H52)&gt;0)),"",IF(NOT(ISNUMBER(I52)),"Lỗi/thiếu số đúng-tổng",IF(OR(MOD(F52,1)&lt;&gt;0,MOD(G52,1)&lt;&gt;0),"Lỗi/thiếu số đúng-tổng",IF(OR(AND(B52&lt;&gt;"N4",B52&lt;&gt;"N3",B52&lt;&gt;"N2"),AND(C52&lt;&gt;"Từ và kanji",C52&lt;&gt;"Ngữ pháp",C52&lt;&gt;"Đọc",C52&lt;&gt;"Nghe")),"Sai cấp/kỹ năng",IF(OR(NOT(ISNUMBER(A52)),A52&lt;1),"Thiếu ngày đo",IF(D52="","Thiếu mã bài",IF(AND(E52&lt;&gt;"Mới",E52&lt;&gt;"Ôn lại"),"Thiếu loại câu",IF(OR(NOT(ISNUMBER(H52)),H52&lt;=0),"Thiếu phút",IF(AND(E52="Mới",COUNTIFS($B$8:$B$79,B52,$C$8:$C$79,C52,$D$8:$D$79,D52,$E$8:$E$79,"Mới",$G$8:$G$79,"&gt;0")&gt;1),"Trùng câu mới","Hợp lệ")))))))))</x:f>
      </x:c>
    </x:row>
    <x:row r="53" ht="25" customHeight="1">
      <x:c r="A53" s="28" t="n">
        <x:v>46345</x:v>
      </x:c>
      <x:c r="B53" s="20" t="str">
        <x:v>N3</x:v>
      </x:c>
      <x:c r="C53" s="20" t="str">
        <x:v>Ngữ pháp</x:v>
      </x:c>
      <x:c r="D53" s="21"/>
      <x:c r="E53" s="20"/>
      <x:c r="F53" s="24"/>
      <x:c r="G53" s="24"/>
      <x:c r="H53" s="24"/>
      <x:c r="I53" s="30" t="str">
        <x:f>IF(OR(ISBLANK(F53),ISBLANK(G53)),"",IF(OR(NOT(ISNUMBER(F53)),NOT(ISNUMBER(G53))),"Lỗi nhập",IF(OR(G53&lt;=0,F53&lt;0,F53&gt;G53),"Lỗi nhập",F53/G53)))</x:f>
      </x:c>
      <x:c r="J53" s="21"/>
      <x:c r="K53" s="39"/>
      <x:c r="L53" s="40" t="str">
        <x:f>IF(NOT(OR(COUNT(F53:H53)&gt;0,LEN(F53&amp;G53&amp;H53)&gt;0)),"",IF(NOT(ISNUMBER(I53)),"Lỗi/thiếu số đúng-tổng",IF(OR(MOD(F53,1)&lt;&gt;0,MOD(G53,1)&lt;&gt;0),"Lỗi/thiếu số đúng-tổng",IF(OR(AND(B53&lt;&gt;"N4",B53&lt;&gt;"N3",B53&lt;&gt;"N2"),AND(C53&lt;&gt;"Từ và kanji",C53&lt;&gt;"Ngữ pháp",C53&lt;&gt;"Đọc",C53&lt;&gt;"Nghe")),"Sai cấp/kỹ năng",IF(OR(NOT(ISNUMBER(A53)),A53&lt;1),"Thiếu ngày đo",IF(D53="","Thiếu mã bài",IF(AND(E53&lt;&gt;"Mới",E53&lt;&gt;"Ôn lại"),"Thiếu loại câu",IF(OR(NOT(ISNUMBER(H53)),H53&lt;=0),"Thiếu phút",IF(AND(E53="Mới",COUNTIFS($B$8:$B$79,B53,$C$8:$C$79,C53,$D$8:$D$79,D53,$E$8:$E$79,"Mới",$G$8:$G$79,"&gt;0")&gt;1),"Trùng câu mới","Hợp lệ")))))))))</x:f>
      </x:c>
    </x:row>
    <x:row r="54" ht="25" customHeight="1">
      <x:c r="A54" s="28" t="n">
        <x:v>46345</x:v>
      </x:c>
      <x:c r="B54" s="20" t="str">
        <x:v>N3</x:v>
      </x:c>
      <x:c r="C54" s="20" t="str">
        <x:v>Đọc</x:v>
      </x:c>
      <x:c r="D54" s="21"/>
      <x:c r="E54" s="20"/>
      <x:c r="F54" s="24"/>
      <x:c r="G54" s="24"/>
      <x:c r="H54" s="24"/>
      <x:c r="I54" s="30" t="str">
        <x:f>IF(OR(ISBLANK(F54),ISBLANK(G54)),"",IF(OR(NOT(ISNUMBER(F54)),NOT(ISNUMBER(G54))),"Lỗi nhập",IF(OR(G54&lt;=0,F54&lt;0,F54&gt;G54),"Lỗi nhập",F54/G54)))</x:f>
      </x:c>
      <x:c r="J54" s="21"/>
      <x:c r="K54" s="39"/>
      <x:c r="L54" s="40" t="str">
        <x:f>IF(NOT(OR(COUNT(F54:H54)&gt;0,LEN(F54&amp;G54&amp;H54)&gt;0)),"",IF(NOT(ISNUMBER(I54)),"Lỗi/thiếu số đúng-tổng",IF(OR(MOD(F54,1)&lt;&gt;0,MOD(G54,1)&lt;&gt;0),"Lỗi/thiếu số đúng-tổng",IF(OR(AND(B54&lt;&gt;"N4",B54&lt;&gt;"N3",B54&lt;&gt;"N2"),AND(C54&lt;&gt;"Từ và kanji",C54&lt;&gt;"Ngữ pháp",C54&lt;&gt;"Đọc",C54&lt;&gt;"Nghe")),"Sai cấp/kỹ năng",IF(OR(NOT(ISNUMBER(A54)),A54&lt;1),"Thiếu ngày đo",IF(D54="","Thiếu mã bài",IF(AND(E54&lt;&gt;"Mới",E54&lt;&gt;"Ôn lại"),"Thiếu loại câu",IF(OR(NOT(ISNUMBER(H54)),H54&lt;=0),"Thiếu phút",IF(AND(E54="Mới",COUNTIFS($B$8:$B$79,B54,$C$8:$C$79,C54,$D$8:$D$79,D54,$E$8:$E$79,"Mới",$G$8:$G$79,"&gt;0")&gt;1),"Trùng câu mới","Hợp lệ")))))))))</x:f>
      </x:c>
    </x:row>
    <x:row r="55" ht="25" customHeight="1">
      <x:c r="A55" s="28" t="n">
        <x:v>46345</x:v>
      </x:c>
      <x:c r="B55" s="20" t="str">
        <x:v>N3</x:v>
      </x:c>
      <x:c r="C55" s="20" t="str">
        <x:v>Nghe</x:v>
      </x:c>
      <x:c r="D55" s="21"/>
      <x:c r="E55" s="20"/>
      <x:c r="F55" s="24"/>
      <x:c r="G55" s="24"/>
      <x:c r="H55" s="24"/>
      <x:c r="I55" s="30" t="str">
        <x:f>IF(OR(ISBLANK(F55),ISBLANK(G55)),"",IF(OR(NOT(ISNUMBER(F55)),NOT(ISNUMBER(G55))),"Lỗi nhập",IF(OR(G55&lt;=0,F55&lt;0,F55&gt;G55),"Lỗi nhập",F55/G55)))</x:f>
      </x:c>
      <x:c r="J55" s="21"/>
      <x:c r="K55" s="39"/>
      <x:c r="L55" s="40" t="str">
        <x:f>IF(NOT(OR(COUNT(F55:H55)&gt;0,LEN(F55&amp;G55&amp;H55)&gt;0)),"",IF(NOT(ISNUMBER(I55)),"Lỗi/thiếu số đúng-tổng",IF(OR(MOD(F55,1)&lt;&gt;0,MOD(G55,1)&lt;&gt;0),"Lỗi/thiếu số đúng-tổng",IF(OR(AND(B55&lt;&gt;"N4",B55&lt;&gt;"N3",B55&lt;&gt;"N2"),AND(C55&lt;&gt;"Từ và kanji",C55&lt;&gt;"Ngữ pháp",C55&lt;&gt;"Đọc",C55&lt;&gt;"Nghe")),"Sai cấp/kỹ năng",IF(OR(NOT(ISNUMBER(A55)),A55&lt;1),"Thiếu ngày đo",IF(D55="","Thiếu mã bài",IF(AND(E55&lt;&gt;"Mới",E55&lt;&gt;"Ôn lại"),"Thiếu loại câu",IF(OR(NOT(ISNUMBER(H55)),H55&lt;=0),"Thiếu phút",IF(AND(E55="Mới",COUNTIFS($B$8:$B$79,B55,$C$8:$C$79,C55,$D$8:$D$79,D55,$E$8:$E$79,"Mới",$G$8:$G$79,"&gt;0")&gt;1),"Trùng câu mới","Hợp lệ")))))))))</x:f>
      </x:c>
    </x:row>
    <x:row r="56" ht="25" customHeight="1">
      <x:c r="A56" s="28" t="n">
        <x:v>46352</x:v>
      </x:c>
      <x:c r="B56" s="20" t="str">
        <x:v>N4</x:v>
      </x:c>
      <x:c r="C56" s="20" t="str">
        <x:v>Từ và kanji</x:v>
      </x:c>
      <x:c r="D56" s="21"/>
      <x:c r="E56" s="20"/>
      <x:c r="F56" s="24"/>
      <x:c r="G56" s="24"/>
      <x:c r="H56" s="24"/>
      <x:c r="I56" s="30" t="str">
        <x:f>IF(OR(ISBLANK(F56),ISBLANK(G56)),"",IF(OR(NOT(ISNUMBER(F56)),NOT(ISNUMBER(G56))),"Lỗi nhập",IF(OR(G56&lt;=0,F56&lt;0,F56&gt;G56),"Lỗi nhập",F56/G56)))</x:f>
      </x:c>
      <x:c r="J56" s="21"/>
      <x:c r="K56" s="39"/>
      <x:c r="L56" s="40" t="str">
        <x:f>IF(NOT(OR(COUNT(F56:H56)&gt;0,LEN(F56&amp;G56&amp;H56)&gt;0)),"",IF(NOT(ISNUMBER(I56)),"Lỗi/thiếu số đúng-tổng",IF(OR(MOD(F56,1)&lt;&gt;0,MOD(G56,1)&lt;&gt;0),"Lỗi/thiếu số đúng-tổng",IF(OR(AND(B56&lt;&gt;"N4",B56&lt;&gt;"N3",B56&lt;&gt;"N2"),AND(C56&lt;&gt;"Từ và kanji",C56&lt;&gt;"Ngữ pháp",C56&lt;&gt;"Đọc",C56&lt;&gt;"Nghe")),"Sai cấp/kỹ năng",IF(OR(NOT(ISNUMBER(A56)),A56&lt;1),"Thiếu ngày đo",IF(D56="","Thiếu mã bài",IF(AND(E56&lt;&gt;"Mới",E56&lt;&gt;"Ôn lại"),"Thiếu loại câu",IF(OR(NOT(ISNUMBER(H56)),H56&lt;=0),"Thiếu phút",IF(AND(E56="Mới",COUNTIFS($B$8:$B$79,B56,$C$8:$C$79,C56,$D$8:$D$79,D56,$E$8:$E$79,"Mới",$G$8:$G$79,"&gt;0")&gt;1),"Trùng câu mới","Hợp lệ")))))))))</x:f>
      </x:c>
    </x:row>
    <x:row r="57" ht="25" customHeight="1">
      <x:c r="A57" s="28" t="n">
        <x:v>46352</x:v>
      </x:c>
      <x:c r="B57" s="20" t="str">
        <x:v>N4</x:v>
      </x:c>
      <x:c r="C57" s="20" t="str">
        <x:v>Ngữ pháp</x:v>
      </x:c>
      <x:c r="D57" s="21"/>
      <x:c r="E57" s="20"/>
      <x:c r="F57" s="24"/>
      <x:c r="G57" s="24"/>
      <x:c r="H57" s="24"/>
      <x:c r="I57" s="30" t="str">
        <x:f>IF(OR(ISBLANK(F57),ISBLANK(G57)),"",IF(OR(NOT(ISNUMBER(F57)),NOT(ISNUMBER(G57))),"Lỗi nhập",IF(OR(G57&lt;=0,F57&lt;0,F57&gt;G57),"Lỗi nhập",F57/G57)))</x:f>
      </x:c>
      <x:c r="J57" s="21"/>
      <x:c r="K57" s="39"/>
      <x:c r="L57" s="40" t="str">
        <x:f>IF(NOT(OR(COUNT(F57:H57)&gt;0,LEN(F57&amp;G57&amp;H57)&gt;0)),"",IF(NOT(ISNUMBER(I57)),"Lỗi/thiếu số đúng-tổng",IF(OR(MOD(F57,1)&lt;&gt;0,MOD(G57,1)&lt;&gt;0),"Lỗi/thiếu số đúng-tổng",IF(OR(AND(B57&lt;&gt;"N4",B57&lt;&gt;"N3",B57&lt;&gt;"N2"),AND(C57&lt;&gt;"Từ và kanji",C57&lt;&gt;"Ngữ pháp",C57&lt;&gt;"Đọc",C57&lt;&gt;"Nghe")),"Sai cấp/kỹ năng",IF(OR(NOT(ISNUMBER(A57)),A57&lt;1),"Thiếu ngày đo",IF(D57="","Thiếu mã bài",IF(AND(E57&lt;&gt;"Mới",E57&lt;&gt;"Ôn lại"),"Thiếu loại câu",IF(OR(NOT(ISNUMBER(H57)),H57&lt;=0),"Thiếu phút",IF(AND(E57="Mới",COUNTIFS($B$8:$B$79,B57,$C$8:$C$79,C57,$D$8:$D$79,D57,$E$8:$E$79,"Mới",$G$8:$G$79,"&gt;0")&gt;1),"Trùng câu mới","Hợp lệ")))))))))</x:f>
      </x:c>
    </x:row>
    <x:row r="58" ht="25" customHeight="1">
      <x:c r="A58" s="28" t="n">
        <x:v>46352</x:v>
      </x:c>
      <x:c r="B58" s="20" t="str">
        <x:v>N4</x:v>
      </x:c>
      <x:c r="C58" s="20" t="str">
        <x:v>Đọc</x:v>
      </x:c>
      <x:c r="D58" s="21"/>
      <x:c r="E58" s="20"/>
      <x:c r="F58" s="24"/>
      <x:c r="G58" s="24"/>
      <x:c r="H58" s="24"/>
      <x:c r="I58" s="30" t="str">
        <x:f>IF(OR(ISBLANK(F58),ISBLANK(G58)),"",IF(OR(NOT(ISNUMBER(F58)),NOT(ISNUMBER(G58))),"Lỗi nhập",IF(OR(G58&lt;=0,F58&lt;0,F58&gt;G58),"Lỗi nhập",F58/G58)))</x:f>
      </x:c>
      <x:c r="J58" s="21"/>
      <x:c r="K58" s="39"/>
      <x:c r="L58" s="40" t="str">
        <x:f>IF(NOT(OR(COUNT(F58:H58)&gt;0,LEN(F58&amp;G58&amp;H58)&gt;0)),"",IF(NOT(ISNUMBER(I58)),"Lỗi/thiếu số đúng-tổng",IF(OR(MOD(F58,1)&lt;&gt;0,MOD(G58,1)&lt;&gt;0),"Lỗi/thiếu số đúng-tổng",IF(OR(AND(B58&lt;&gt;"N4",B58&lt;&gt;"N3",B58&lt;&gt;"N2"),AND(C58&lt;&gt;"Từ và kanji",C58&lt;&gt;"Ngữ pháp",C58&lt;&gt;"Đọc",C58&lt;&gt;"Nghe")),"Sai cấp/kỹ năng",IF(OR(NOT(ISNUMBER(A58)),A58&lt;1),"Thiếu ngày đo",IF(D58="","Thiếu mã bài",IF(AND(E58&lt;&gt;"Mới",E58&lt;&gt;"Ôn lại"),"Thiếu loại câu",IF(OR(NOT(ISNUMBER(H58)),H58&lt;=0),"Thiếu phút",IF(AND(E58="Mới",COUNTIFS($B$8:$B$79,B58,$C$8:$C$79,C58,$D$8:$D$79,D58,$E$8:$E$79,"Mới",$G$8:$G$79,"&gt;0")&gt;1),"Trùng câu mới","Hợp lệ")))))))))</x:f>
      </x:c>
    </x:row>
    <x:row r="59" ht="25" customHeight="1">
      <x:c r="A59" s="28" t="n">
        <x:v>46352</x:v>
      </x:c>
      <x:c r="B59" s="20" t="str">
        <x:v>N4</x:v>
      </x:c>
      <x:c r="C59" s="20" t="str">
        <x:v>Nghe</x:v>
      </x:c>
      <x:c r="D59" s="21"/>
      <x:c r="E59" s="20"/>
      <x:c r="F59" s="24"/>
      <x:c r="G59" s="24"/>
      <x:c r="H59" s="24"/>
      <x:c r="I59" s="30" t="str">
        <x:f>IF(OR(ISBLANK(F59),ISBLANK(G59)),"",IF(OR(NOT(ISNUMBER(F59)),NOT(ISNUMBER(G59))),"Lỗi nhập",IF(OR(G59&lt;=0,F59&lt;0,F59&gt;G59),"Lỗi nhập",F59/G59)))</x:f>
      </x:c>
      <x:c r="J59" s="21"/>
      <x:c r="K59" s="39"/>
      <x:c r="L59" s="40" t="str">
        <x:f>IF(NOT(OR(COUNT(F59:H59)&gt;0,LEN(F59&amp;G59&amp;H59)&gt;0)),"",IF(NOT(ISNUMBER(I59)),"Lỗi/thiếu số đúng-tổng",IF(OR(MOD(F59,1)&lt;&gt;0,MOD(G59,1)&lt;&gt;0),"Lỗi/thiếu số đúng-tổng",IF(OR(AND(B59&lt;&gt;"N4",B59&lt;&gt;"N3",B59&lt;&gt;"N2"),AND(C59&lt;&gt;"Từ và kanji",C59&lt;&gt;"Ngữ pháp",C59&lt;&gt;"Đọc",C59&lt;&gt;"Nghe")),"Sai cấp/kỹ năng",IF(OR(NOT(ISNUMBER(A59)),A59&lt;1),"Thiếu ngày đo",IF(D59="","Thiếu mã bài",IF(AND(E59&lt;&gt;"Mới",E59&lt;&gt;"Ôn lại"),"Thiếu loại câu",IF(OR(NOT(ISNUMBER(H59)),H59&lt;=0),"Thiếu phút",IF(AND(E59="Mới",COUNTIFS($B$8:$B$79,B59,$C$8:$C$79,C59,$D$8:$D$79,D59,$E$8:$E$79,"Mới",$G$8:$G$79,"&gt;0")&gt;1),"Trùng câu mới","Hợp lệ")))))))))</x:f>
      </x:c>
    </x:row>
    <x:row r="60" ht="25" customHeight="1">
      <x:c r="A60" s="28" t="n">
        <x:v>46352</x:v>
      </x:c>
      <x:c r="B60" s="20" t="str">
        <x:v>N3</x:v>
      </x:c>
      <x:c r="C60" s="20" t="str">
        <x:v>Từ và kanji</x:v>
      </x:c>
      <x:c r="D60" s="21"/>
      <x:c r="E60" s="20"/>
      <x:c r="F60" s="24"/>
      <x:c r="G60" s="24"/>
      <x:c r="H60" s="24"/>
      <x:c r="I60" s="30" t="str">
        <x:f>IF(OR(ISBLANK(F60),ISBLANK(G60)),"",IF(OR(NOT(ISNUMBER(F60)),NOT(ISNUMBER(G60))),"Lỗi nhập",IF(OR(G60&lt;=0,F60&lt;0,F60&gt;G60),"Lỗi nhập",F60/G60)))</x:f>
      </x:c>
      <x:c r="J60" s="21"/>
      <x:c r="K60" s="39"/>
      <x:c r="L60" s="40" t="str">
        <x:f>IF(NOT(OR(COUNT(F60:H60)&gt;0,LEN(F60&amp;G60&amp;H60)&gt;0)),"",IF(NOT(ISNUMBER(I60)),"Lỗi/thiếu số đúng-tổng",IF(OR(MOD(F60,1)&lt;&gt;0,MOD(G60,1)&lt;&gt;0),"Lỗi/thiếu số đúng-tổng",IF(OR(AND(B60&lt;&gt;"N4",B60&lt;&gt;"N3",B60&lt;&gt;"N2"),AND(C60&lt;&gt;"Từ và kanji",C60&lt;&gt;"Ngữ pháp",C60&lt;&gt;"Đọc",C60&lt;&gt;"Nghe")),"Sai cấp/kỹ năng",IF(OR(NOT(ISNUMBER(A60)),A60&lt;1),"Thiếu ngày đo",IF(D60="","Thiếu mã bài",IF(AND(E60&lt;&gt;"Mới",E60&lt;&gt;"Ôn lại"),"Thiếu loại câu",IF(OR(NOT(ISNUMBER(H60)),H60&lt;=0),"Thiếu phút",IF(AND(E60="Mới",COUNTIFS($B$8:$B$79,B60,$C$8:$C$79,C60,$D$8:$D$79,D60,$E$8:$E$79,"Mới",$G$8:$G$79,"&gt;0")&gt;1),"Trùng câu mới","Hợp lệ")))))))))</x:f>
      </x:c>
    </x:row>
    <x:row r="61" ht="25" customHeight="1">
      <x:c r="A61" s="28" t="n">
        <x:v>46352</x:v>
      </x:c>
      <x:c r="B61" s="20" t="str">
        <x:v>N3</x:v>
      </x:c>
      <x:c r="C61" s="20" t="str">
        <x:v>Ngữ pháp</x:v>
      </x:c>
      <x:c r="D61" s="21"/>
      <x:c r="E61" s="20"/>
      <x:c r="F61" s="24"/>
      <x:c r="G61" s="24"/>
      <x:c r="H61" s="24"/>
      <x:c r="I61" s="30" t="str">
        <x:f>IF(OR(ISBLANK(F61),ISBLANK(G61)),"",IF(OR(NOT(ISNUMBER(F61)),NOT(ISNUMBER(G61))),"Lỗi nhập",IF(OR(G61&lt;=0,F61&lt;0,F61&gt;G61),"Lỗi nhập",F61/G61)))</x:f>
      </x:c>
      <x:c r="J61" s="21"/>
      <x:c r="K61" s="39"/>
      <x:c r="L61" s="40" t="str">
        <x:f>IF(NOT(OR(COUNT(F61:H61)&gt;0,LEN(F61&amp;G61&amp;H61)&gt;0)),"",IF(NOT(ISNUMBER(I61)),"Lỗi/thiếu số đúng-tổng",IF(OR(MOD(F61,1)&lt;&gt;0,MOD(G61,1)&lt;&gt;0),"Lỗi/thiếu số đúng-tổng",IF(OR(AND(B61&lt;&gt;"N4",B61&lt;&gt;"N3",B61&lt;&gt;"N2"),AND(C61&lt;&gt;"Từ và kanji",C61&lt;&gt;"Ngữ pháp",C61&lt;&gt;"Đọc",C61&lt;&gt;"Nghe")),"Sai cấp/kỹ năng",IF(OR(NOT(ISNUMBER(A61)),A61&lt;1),"Thiếu ngày đo",IF(D61="","Thiếu mã bài",IF(AND(E61&lt;&gt;"Mới",E61&lt;&gt;"Ôn lại"),"Thiếu loại câu",IF(OR(NOT(ISNUMBER(H61)),H61&lt;=0),"Thiếu phút",IF(AND(E61="Mới",COUNTIFS($B$8:$B$79,B61,$C$8:$C$79,C61,$D$8:$D$79,D61,$E$8:$E$79,"Mới",$G$8:$G$79,"&gt;0")&gt;1),"Trùng câu mới","Hợp lệ")))))))))</x:f>
      </x:c>
    </x:row>
    <x:row r="62" ht="25" customHeight="1">
      <x:c r="A62" s="28" t="n">
        <x:v>46352</x:v>
      </x:c>
      <x:c r="B62" s="20" t="str">
        <x:v>N3</x:v>
      </x:c>
      <x:c r="C62" s="20" t="str">
        <x:v>Đọc</x:v>
      </x:c>
      <x:c r="D62" s="21"/>
      <x:c r="E62" s="20"/>
      <x:c r="F62" s="24"/>
      <x:c r="G62" s="24"/>
      <x:c r="H62" s="24"/>
      <x:c r="I62" s="30" t="str">
        <x:f>IF(OR(ISBLANK(F62),ISBLANK(G62)),"",IF(OR(NOT(ISNUMBER(F62)),NOT(ISNUMBER(G62))),"Lỗi nhập",IF(OR(G62&lt;=0,F62&lt;0,F62&gt;G62),"Lỗi nhập",F62/G62)))</x:f>
      </x:c>
      <x:c r="J62" s="21"/>
      <x:c r="K62" s="39"/>
      <x:c r="L62" s="40" t="str">
        <x:f>IF(NOT(OR(COUNT(F62:H62)&gt;0,LEN(F62&amp;G62&amp;H62)&gt;0)),"",IF(NOT(ISNUMBER(I62)),"Lỗi/thiếu số đúng-tổng",IF(OR(MOD(F62,1)&lt;&gt;0,MOD(G62,1)&lt;&gt;0),"Lỗi/thiếu số đúng-tổng",IF(OR(AND(B62&lt;&gt;"N4",B62&lt;&gt;"N3",B62&lt;&gt;"N2"),AND(C62&lt;&gt;"Từ và kanji",C62&lt;&gt;"Ngữ pháp",C62&lt;&gt;"Đọc",C62&lt;&gt;"Nghe")),"Sai cấp/kỹ năng",IF(OR(NOT(ISNUMBER(A62)),A62&lt;1),"Thiếu ngày đo",IF(D62="","Thiếu mã bài",IF(AND(E62&lt;&gt;"Mới",E62&lt;&gt;"Ôn lại"),"Thiếu loại câu",IF(OR(NOT(ISNUMBER(H62)),H62&lt;=0),"Thiếu phút",IF(AND(E62="Mới",COUNTIFS($B$8:$B$79,B62,$C$8:$C$79,C62,$D$8:$D$79,D62,$E$8:$E$79,"Mới",$G$8:$G$79,"&gt;0")&gt;1),"Trùng câu mới","Hợp lệ")))))))))</x:f>
      </x:c>
    </x:row>
    <x:row r="63" ht="25" customHeight="1">
      <x:c r="A63" s="28" t="n">
        <x:v>46352</x:v>
      </x:c>
      <x:c r="B63" s="20" t="str">
        <x:v>N3</x:v>
      </x:c>
      <x:c r="C63" s="20" t="str">
        <x:v>Nghe</x:v>
      </x:c>
      <x:c r="D63" s="21"/>
      <x:c r="E63" s="20"/>
      <x:c r="F63" s="24"/>
      <x:c r="G63" s="24"/>
      <x:c r="H63" s="24"/>
      <x:c r="I63" s="30" t="str">
        <x:f>IF(OR(ISBLANK(F63),ISBLANK(G63)),"",IF(OR(NOT(ISNUMBER(F63)),NOT(ISNUMBER(G63))),"Lỗi nhập",IF(OR(G63&lt;=0,F63&lt;0,F63&gt;G63),"Lỗi nhập",F63/G63)))</x:f>
      </x:c>
      <x:c r="J63" s="21"/>
      <x:c r="K63" s="39"/>
      <x:c r="L63" s="40" t="str">
        <x:f>IF(NOT(OR(COUNT(F63:H63)&gt;0,LEN(F63&amp;G63&amp;H63)&gt;0)),"",IF(NOT(ISNUMBER(I63)),"Lỗi/thiếu số đúng-tổng",IF(OR(MOD(F63,1)&lt;&gt;0,MOD(G63,1)&lt;&gt;0),"Lỗi/thiếu số đúng-tổng",IF(OR(AND(B63&lt;&gt;"N4",B63&lt;&gt;"N3",B63&lt;&gt;"N2"),AND(C63&lt;&gt;"Từ và kanji",C63&lt;&gt;"Ngữ pháp",C63&lt;&gt;"Đọc",C63&lt;&gt;"Nghe")),"Sai cấp/kỹ năng",IF(OR(NOT(ISNUMBER(A63)),A63&lt;1),"Thiếu ngày đo",IF(D63="","Thiếu mã bài",IF(AND(E63&lt;&gt;"Mới",E63&lt;&gt;"Ôn lại"),"Thiếu loại câu",IF(OR(NOT(ISNUMBER(H63)),H63&lt;=0),"Thiếu phút",IF(AND(E63="Mới",COUNTIFS($B$8:$B$79,B63,$C$8:$C$79,C63,$D$8:$D$79,D63,$E$8:$E$79,"Mới",$G$8:$G$79,"&gt;0")&gt;1),"Trùng câu mới","Hợp lệ")))))))))</x:f>
      </x:c>
    </x:row>
    <x:row r="64" ht="25" customHeight="1">
      <x:c r="A64" s="28" t="n">
        <x:v>46359</x:v>
      </x:c>
      <x:c r="B64" s="20" t="str">
        <x:v>N4</x:v>
      </x:c>
      <x:c r="C64" s="20" t="str">
        <x:v>Từ và kanji</x:v>
      </x:c>
      <x:c r="D64" s="21"/>
      <x:c r="E64" s="20"/>
      <x:c r="F64" s="24"/>
      <x:c r="G64" s="24"/>
      <x:c r="H64" s="24"/>
      <x:c r="I64" s="30" t="str">
        <x:f>IF(OR(ISBLANK(F64),ISBLANK(G64)),"",IF(OR(NOT(ISNUMBER(F64)),NOT(ISNUMBER(G64))),"Lỗi nhập",IF(OR(G64&lt;=0,F64&lt;0,F64&gt;G64),"Lỗi nhập",F64/G64)))</x:f>
      </x:c>
      <x:c r="J64" s="21"/>
      <x:c r="K64" s="39"/>
      <x:c r="L64" s="40" t="str">
        <x:f>IF(NOT(OR(COUNT(F64:H64)&gt;0,LEN(F64&amp;G64&amp;H64)&gt;0)),"",IF(NOT(ISNUMBER(I64)),"Lỗi/thiếu số đúng-tổng",IF(OR(MOD(F64,1)&lt;&gt;0,MOD(G64,1)&lt;&gt;0),"Lỗi/thiếu số đúng-tổng",IF(OR(AND(B64&lt;&gt;"N4",B64&lt;&gt;"N3",B64&lt;&gt;"N2"),AND(C64&lt;&gt;"Từ và kanji",C64&lt;&gt;"Ngữ pháp",C64&lt;&gt;"Đọc",C64&lt;&gt;"Nghe")),"Sai cấp/kỹ năng",IF(OR(NOT(ISNUMBER(A64)),A64&lt;1),"Thiếu ngày đo",IF(D64="","Thiếu mã bài",IF(AND(E64&lt;&gt;"Mới",E64&lt;&gt;"Ôn lại"),"Thiếu loại câu",IF(OR(NOT(ISNUMBER(H64)),H64&lt;=0),"Thiếu phút",IF(AND(E64="Mới",COUNTIFS($B$8:$B$79,B64,$C$8:$C$79,C64,$D$8:$D$79,D64,$E$8:$E$79,"Mới",$G$8:$G$79,"&gt;0")&gt;1),"Trùng câu mới","Hợp lệ")))))))))</x:f>
      </x:c>
    </x:row>
    <x:row r="65" ht="25" customHeight="1">
      <x:c r="A65" s="28" t="n">
        <x:v>46359</x:v>
      </x:c>
      <x:c r="B65" s="20" t="str">
        <x:v>N4</x:v>
      </x:c>
      <x:c r="C65" s="20" t="str">
        <x:v>Ngữ pháp</x:v>
      </x:c>
      <x:c r="D65" s="21"/>
      <x:c r="E65" s="20"/>
      <x:c r="F65" s="24"/>
      <x:c r="G65" s="24"/>
      <x:c r="H65" s="24"/>
      <x:c r="I65" s="30" t="str">
        <x:f>IF(OR(ISBLANK(F65),ISBLANK(G65)),"",IF(OR(NOT(ISNUMBER(F65)),NOT(ISNUMBER(G65))),"Lỗi nhập",IF(OR(G65&lt;=0,F65&lt;0,F65&gt;G65),"Lỗi nhập",F65/G65)))</x:f>
      </x:c>
      <x:c r="J65" s="21"/>
      <x:c r="K65" s="39"/>
      <x:c r="L65" s="40" t="str">
        <x:f>IF(NOT(OR(COUNT(F65:H65)&gt;0,LEN(F65&amp;G65&amp;H65)&gt;0)),"",IF(NOT(ISNUMBER(I65)),"Lỗi/thiếu số đúng-tổng",IF(OR(MOD(F65,1)&lt;&gt;0,MOD(G65,1)&lt;&gt;0),"Lỗi/thiếu số đúng-tổng",IF(OR(AND(B65&lt;&gt;"N4",B65&lt;&gt;"N3",B65&lt;&gt;"N2"),AND(C65&lt;&gt;"Từ và kanji",C65&lt;&gt;"Ngữ pháp",C65&lt;&gt;"Đọc",C65&lt;&gt;"Nghe")),"Sai cấp/kỹ năng",IF(OR(NOT(ISNUMBER(A65)),A65&lt;1),"Thiếu ngày đo",IF(D65="","Thiếu mã bài",IF(AND(E65&lt;&gt;"Mới",E65&lt;&gt;"Ôn lại"),"Thiếu loại câu",IF(OR(NOT(ISNUMBER(H65)),H65&lt;=0),"Thiếu phút",IF(AND(E65="Mới",COUNTIFS($B$8:$B$79,B65,$C$8:$C$79,C65,$D$8:$D$79,D65,$E$8:$E$79,"Mới",$G$8:$G$79,"&gt;0")&gt;1),"Trùng câu mới","Hợp lệ")))))))))</x:f>
      </x:c>
    </x:row>
    <x:row r="66" ht="25" customHeight="1">
      <x:c r="A66" s="28" t="n">
        <x:v>46359</x:v>
      </x:c>
      <x:c r="B66" s="20" t="str">
        <x:v>N4</x:v>
      </x:c>
      <x:c r="C66" s="20" t="str">
        <x:v>Đọc</x:v>
      </x:c>
      <x:c r="D66" s="21"/>
      <x:c r="E66" s="20"/>
      <x:c r="F66" s="24"/>
      <x:c r="G66" s="24"/>
      <x:c r="H66" s="24"/>
      <x:c r="I66" s="30" t="str">
        <x:f>IF(OR(ISBLANK(F66),ISBLANK(G66)),"",IF(OR(NOT(ISNUMBER(F66)),NOT(ISNUMBER(G66))),"Lỗi nhập",IF(OR(G66&lt;=0,F66&lt;0,F66&gt;G66),"Lỗi nhập",F66/G66)))</x:f>
      </x:c>
      <x:c r="J66" s="21"/>
      <x:c r="K66" s="39"/>
      <x:c r="L66" s="40" t="str">
        <x:f>IF(NOT(OR(COUNT(F66:H66)&gt;0,LEN(F66&amp;G66&amp;H66)&gt;0)),"",IF(NOT(ISNUMBER(I66)),"Lỗi/thiếu số đúng-tổng",IF(OR(MOD(F66,1)&lt;&gt;0,MOD(G66,1)&lt;&gt;0),"Lỗi/thiếu số đúng-tổng",IF(OR(AND(B66&lt;&gt;"N4",B66&lt;&gt;"N3",B66&lt;&gt;"N2"),AND(C66&lt;&gt;"Từ và kanji",C66&lt;&gt;"Ngữ pháp",C66&lt;&gt;"Đọc",C66&lt;&gt;"Nghe")),"Sai cấp/kỹ năng",IF(OR(NOT(ISNUMBER(A66)),A66&lt;1),"Thiếu ngày đo",IF(D66="","Thiếu mã bài",IF(AND(E66&lt;&gt;"Mới",E66&lt;&gt;"Ôn lại"),"Thiếu loại câu",IF(OR(NOT(ISNUMBER(H66)),H66&lt;=0),"Thiếu phút",IF(AND(E66="Mới",COUNTIFS($B$8:$B$79,B66,$C$8:$C$79,C66,$D$8:$D$79,D66,$E$8:$E$79,"Mới",$G$8:$G$79,"&gt;0")&gt;1),"Trùng câu mới","Hợp lệ")))))))))</x:f>
      </x:c>
    </x:row>
    <x:row r="67" ht="25" customHeight="1">
      <x:c r="A67" s="28" t="n">
        <x:v>46359</x:v>
      </x:c>
      <x:c r="B67" s="20" t="str">
        <x:v>N4</x:v>
      </x:c>
      <x:c r="C67" s="20" t="str">
        <x:v>Nghe</x:v>
      </x:c>
      <x:c r="D67" s="21"/>
      <x:c r="E67" s="20"/>
      <x:c r="F67" s="24"/>
      <x:c r="G67" s="24"/>
      <x:c r="H67" s="24"/>
      <x:c r="I67" s="30" t="str">
        <x:f>IF(OR(ISBLANK(F67),ISBLANK(G67)),"",IF(OR(NOT(ISNUMBER(F67)),NOT(ISNUMBER(G67))),"Lỗi nhập",IF(OR(G67&lt;=0,F67&lt;0,F67&gt;G67),"Lỗi nhập",F67/G67)))</x:f>
      </x:c>
      <x:c r="J67" s="21"/>
      <x:c r="K67" s="39"/>
      <x:c r="L67" s="40" t="str">
        <x:f>IF(NOT(OR(COUNT(F67:H67)&gt;0,LEN(F67&amp;G67&amp;H67)&gt;0)),"",IF(NOT(ISNUMBER(I67)),"Lỗi/thiếu số đúng-tổng",IF(OR(MOD(F67,1)&lt;&gt;0,MOD(G67,1)&lt;&gt;0),"Lỗi/thiếu số đúng-tổng",IF(OR(AND(B67&lt;&gt;"N4",B67&lt;&gt;"N3",B67&lt;&gt;"N2"),AND(C67&lt;&gt;"Từ và kanji",C67&lt;&gt;"Ngữ pháp",C67&lt;&gt;"Đọc",C67&lt;&gt;"Nghe")),"Sai cấp/kỹ năng",IF(OR(NOT(ISNUMBER(A67)),A67&lt;1),"Thiếu ngày đo",IF(D67="","Thiếu mã bài",IF(AND(E67&lt;&gt;"Mới",E67&lt;&gt;"Ôn lại"),"Thiếu loại câu",IF(OR(NOT(ISNUMBER(H67)),H67&lt;=0),"Thiếu phút",IF(AND(E67="Mới",COUNTIFS($B$8:$B$79,B67,$C$8:$C$79,C67,$D$8:$D$79,D67,$E$8:$E$79,"Mới",$G$8:$G$79,"&gt;0")&gt;1),"Trùng câu mới","Hợp lệ")))))))))</x:f>
      </x:c>
    </x:row>
    <x:row r="68" ht="25" customHeight="1">
      <x:c r="A68" s="28" t="n">
        <x:v>46359</x:v>
      </x:c>
      <x:c r="B68" s="20" t="str">
        <x:v>N3</x:v>
      </x:c>
      <x:c r="C68" s="20" t="str">
        <x:v>Từ và kanji</x:v>
      </x:c>
      <x:c r="D68" s="21"/>
      <x:c r="E68" s="20"/>
      <x:c r="F68" s="24"/>
      <x:c r="G68" s="24"/>
      <x:c r="H68" s="24"/>
      <x:c r="I68" s="30" t="str">
        <x:f>IF(OR(ISBLANK(F68),ISBLANK(G68)),"",IF(OR(NOT(ISNUMBER(F68)),NOT(ISNUMBER(G68))),"Lỗi nhập",IF(OR(G68&lt;=0,F68&lt;0,F68&gt;G68),"Lỗi nhập",F68/G68)))</x:f>
      </x:c>
      <x:c r="J68" s="21"/>
      <x:c r="K68" s="39"/>
      <x:c r="L68" s="40" t="str">
        <x:f>IF(NOT(OR(COUNT(F68:H68)&gt;0,LEN(F68&amp;G68&amp;H68)&gt;0)),"",IF(NOT(ISNUMBER(I68)),"Lỗi/thiếu số đúng-tổng",IF(OR(MOD(F68,1)&lt;&gt;0,MOD(G68,1)&lt;&gt;0),"Lỗi/thiếu số đúng-tổng",IF(OR(AND(B68&lt;&gt;"N4",B68&lt;&gt;"N3",B68&lt;&gt;"N2"),AND(C68&lt;&gt;"Từ và kanji",C68&lt;&gt;"Ngữ pháp",C68&lt;&gt;"Đọc",C68&lt;&gt;"Nghe")),"Sai cấp/kỹ năng",IF(OR(NOT(ISNUMBER(A68)),A68&lt;1),"Thiếu ngày đo",IF(D68="","Thiếu mã bài",IF(AND(E68&lt;&gt;"Mới",E68&lt;&gt;"Ôn lại"),"Thiếu loại câu",IF(OR(NOT(ISNUMBER(H68)),H68&lt;=0),"Thiếu phút",IF(AND(E68="Mới",COUNTIFS($B$8:$B$79,B68,$C$8:$C$79,C68,$D$8:$D$79,D68,$E$8:$E$79,"Mới",$G$8:$G$79,"&gt;0")&gt;1),"Trùng câu mới","Hợp lệ")))))))))</x:f>
      </x:c>
    </x:row>
    <x:row r="69" ht="25" customHeight="1">
      <x:c r="A69" s="28" t="n">
        <x:v>46359</x:v>
      </x:c>
      <x:c r="B69" s="20" t="str">
        <x:v>N3</x:v>
      </x:c>
      <x:c r="C69" s="20" t="str">
        <x:v>Ngữ pháp</x:v>
      </x:c>
      <x:c r="D69" s="21"/>
      <x:c r="E69" s="20"/>
      <x:c r="F69" s="24"/>
      <x:c r="G69" s="24"/>
      <x:c r="H69" s="24"/>
      <x:c r="I69" s="30" t="str">
        <x:f>IF(OR(ISBLANK(F69),ISBLANK(G69)),"",IF(OR(NOT(ISNUMBER(F69)),NOT(ISNUMBER(G69))),"Lỗi nhập",IF(OR(G69&lt;=0,F69&lt;0,F69&gt;G69),"Lỗi nhập",F69/G69)))</x:f>
      </x:c>
      <x:c r="J69" s="21"/>
      <x:c r="K69" s="39"/>
      <x:c r="L69" s="40" t="str">
        <x:f>IF(NOT(OR(COUNT(F69:H69)&gt;0,LEN(F69&amp;G69&amp;H69)&gt;0)),"",IF(NOT(ISNUMBER(I69)),"Lỗi/thiếu số đúng-tổng",IF(OR(MOD(F69,1)&lt;&gt;0,MOD(G69,1)&lt;&gt;0),"Lỗi/thiếu số đúng-tổng",IF(OR(AND(B69&lt;&gt;"N4",B69&lt;&gt;"N3",B69&lt;&gt;"N2"),AND(C69&lt;&gt;"Từ và kanji",C69&lt;&gt;"Ngữ pháp",C69&lt;&gt;"Đọc",C69&lt;&gt;"Nghe")),"Sai cấp/kỹ năng",IF(OR(NOT(ISNUMBER(A69)),A69&lt;1),"Thiếu ngày đo",IF(D69="","Thiếu mã bài",IF(AND(E69&lt;&gt;"Mới",E69&lt;&gt;"Ôn lại"),"Thiếu loại câu",IF(OR(NOT(ISNUMBER(H69)),H69&lt;=0),"Thiếu phút",IF(AND(E69="Mới",COUNTIFS($B$8:$B$79,B69,$C$8:$C$79,C69,$D$8:$D$79,D69,$E$8:$E$79,"Mới",$G$8:$G$79,"&gt;0")&gt;1),"Trùng câu mới","Hợp lệ")))))))))</x:f>
      </x:c>
    </x:row>
    <x:row r="70" ht="25" customHeight="1">
      <x:c r="A70" s="28" t="n">
        <x:v>46359</x:v>
      </x:c>
      <x:c r="B70" s="20" t="str">
        <x:v>N3</x:v>
      </x:c>
      <x:c r="C70" s="20" t="str">
        <x:v>Đọc</x:v>
      </x:c>
      <x:c r="D70" s="21"/>
      <x:c r="E70" s="20"/>
      <x:c r="F70" s="24"/>
      <x:c r="G70" s="24"/>
      <x:c r="H70" s="24"/>
      <x:c r="I70" s="30" t="str">
        <x:f>IF(OR(ISBLANK(F70),ISBLANK(G70)),"",IF(OR(NOT(ISNUMBER(F70)),NOT(ISNUMBER(G70))),"Lỗi nhập",IF(OR(G70&lt;=0,F70&lt;0,F70&gt;G70),"Lỗi nhập",F70/G70)))</x:f>
      </x:c>
      <x:c r="J70" s="21"/>
      <x:c r="K70" s="39"/>
      <x:c r="L70" s="40" t="str">
        <x:f>IF(NOT(OR(COUNT(F70:H70)&gt;0,LEN(F70&amp;G70&amp;H70)&gt;0)),"",IF(NOT(ISNUMBER(I70)),"Lỗi/thiếu số đúng-tổng",IF(OR(MOD(F70,1)&lt;&gt;0,MOD(G70,1)&lt;&gt;0),"Lỗi/thiếu số đúng-tổng",IF(OR(AND(B70&lt;&gt;"N4",B70&lt;&gt;"N3",B70&lt;&gt;"N2"),AND(C70&lt;&gt;"Từ và kanji",C70&lt;&gt;"Ngữ pháp",C70&lt;&gt;"Đọc",C70&lt;&gt;"Nghe")),"Sai cấp/kỹ năng",IF(OR(NOT(ISNUMBER(A70)),A70&lt;1),"Thiếu ngày đo",IF(D70="","Thiếu mã bài",IF(AND(E70&lt;&gt;"Mới",E70&lt;&gt;"Ôn lại"),"Thiếu loại câu",IF(OR(NOT(ISNUMBER(H70)),H70&lt;=0),"Thiếu phút",IF(AND(E70="Mới",COUNTIFS($B$8:$B$79,B70,$C$8:$C$79,C70,$D$8:$D$79,D70,$E$8:$E$79,"Mới",$G$8:$G$79,"&gt;0")&gt;1),"Trùng câu mới","Hợp lệ")))))))))</x:f>
      </x:c>
    </x:row>
    <x:row r="71" ht="25" customHeight="1">
      <x:c r="A71" s="28" t="n">
        <x:v>46359</x:v>
      </x:c>
      <x:c r="B71" s="20" t="str">
        <x:v>N3</x:v>
      </x:c>
      <x:c r="C71" s="20" t="str">
        <x:v>Nghe</x:v>
      </x:c>
      <x:c r="D71" s="21"/>
      <x:c r="E71" s="20"/>
      <x:c r="F71" s="24"/>
      <x:c r="G71" s="24"/>
      <x:c r="H71" s="24"/>
      <x:c r="I71" s="30" t="str">
        <x:f>IF(OR(ISBLANK(F71),ISBLANK(G71)),"",IF(OR(NOT(ISNUMBER(F71)),NOT(ISNUMBER(G71))),"Lỗi nhập",IF(OR(G71&lt;=0,F71&lt;0,F71&gt;G71),"Lỗi nhập",F71/G71)))</x:f>
      </x:c>
      <x:c r="J71" s="21"/>
      <x:c r="K71" s="39"/>
      <x:c r="L71" s="40" t="str">
        <x:f>IF(NOT(OR(COUNT(F71:H71)&gt;0,LEN(F71&amp;G71&amp;H71)&gt;0)),"",IF(NOT(ISNUMBER(I71)),"Lỗi/thiếu số đúng-tổng",IF(OR(MOD(F71,1)&lt;&gt;0,MOD(G71,1)&lt;&gt;0),"Lỗi/thiếu số đúng-tổng",IF(OR(AND(B71&lt;&gt;"N4",B71&lt;&gt;"N3",B71&lt;&gt;"N2"),AND(C71&lt;&gt;"Từ và kanji",C71&lt;&gt;"Ngữ pháp",C71&lt;&gt;"Đọc",C71&lt;&gt;"Nghe")),"Sai cấp/kỹ năng",IF(OR(NOT(ISNUMBER(A71)),A71&lt;1),"Thiếu ngày đo",IF(D71="","Thiếu mã bài",IF(AND(E71&lt;&gt;"Mới",E71&lt;&gt;"Ôn lại"),"Thiếu loại câu",IF(OR(NOT(ISNUMBER(H71)),H71&lt;=0),"Thiếu phút",IF(AND(E71="Mới",COUNTIFS($B$8:$B$79,B71,$C$8:$C$79,C71,$D$8:$D$79,D71,$E$8:$E$79,"Mới",$G$8:$G$79,"&gt;0")&gt;1),"Trùng câu mới","Hợp lệ")))))))))</x:f>
      </x:c>
    </x:row>
    <x:row r="72" ht="25" customHeight="1">
      <x:c r="A72" s="48" t="str">
        <x:f>IF(AND('Làm nhanh'!P174="Đã chấm"),MAX('Làm nhanh'!M174),"")</x:f>
      </x:c>
      <x:c r="B72" s="40" t="str">
        <x:v>N4</x:v>
      </x:c>
      <x:c r="C72" s="40" t="str">
        <x:v>Từ và kanji</x:v>
      </x:c>
      <x:c r="D72" s="49" t="str">
        <x:v>START18-N4-V</x:v>
      </x:c>
      <x:c r="E72" s="40" t="str">
        <x:f>IF(AND('Làm nhanh'!P174="Đã chấm"),IF(AND('Làm nhanh'!O174="Mới"),"Mới","Ôn lại"),"")</x:f>
      </x:c>
      <x:c r="F72" s="50" t="str">
        <x:f>IF(AND('Làm nhanh'!P174="Đã chấm"),SUM('Làm nhanh'!L174),"")</x:f>
      </x:c>
      <x:c r="G72" s="50" t="str">
        <x:f>IF(AND('Làm nhanh'!P174="Đã chấm"),SUM('Làm nhanh'!K174),"")</x:f>
      </x:c>
      <x:c r="H72" s="50" t="str">
        <x:f>IF(AND('Làm nhanh'!P174="Đã chấm"),SUM('Làm nhanh'!N174),"")</x:f>
      </x:c>
      <x:c r="I72" s="51" t="str">
        <x:f>IF(COUNT(F72:G72)&lt;2,"",IF(OR(G72&lt;=0,F72&lt;0,F72&gt;G72),"Lỗi nhập",F72/G72))</x:f>
      </x:c>
      <x:c r="J72" s="49"/>
      <x:c r="K72" s="39"/>
      <x:c r="L72" s="40" t="str">
        <x:f>IF(NOT(OR(COUNT(F72:H72)&gt;0,LEN(F72&amp;G72&amp;H72)&gt;0)),"",IF(NOT(ISNUMBER(I72)),"Lỗi/thiếu số đúng-tổng",IF(OR(MOD(F72,1)&lt;&gt;0,MOD(G72,1)&lt;&gt;0),"Lỗi/thiếu số đúng-tổng",IF(OR(AND(B72&lt;&gt;"N4",B72&lt;&gt;"N3",B72&lt;&gt;"N2"),AND(C72&lt;&gt;"Từ và kanji",C72&lt;&gt;"Ngữ pháp",C72&lt;&gt;"Đọc",C72&lt;&gt;"Nghe")),"Sai cấp/kỹ năng",IF(OR(NOT(ISNUMBER(A72)),A72&lt;1),"Thiếu ngày đo",IF(D72="","Thiếu mã bài",IF(AND(E72&lt;&gt;"Mới",E72&lt;&gt;"Ôn lại"),"Thiếu loại câu",IF(OR(NOT(ISNUMBER(H72)),H72&lt;=0),"Thiếu phút",IF(AND(E72="Mới",COUNTIFS($B$8:$B$79,B72,$C$8:$C$79,C72,$D$8:$D$79,D72,$E$8:$E$79,"Mới",$G$8:$G$79,"&gt;0")&gt;1),"Trùng câu mới","Hợp lệ")))))))))</x:f>
      </x:c>
    </x:row>
    <x:row r="73" ht="25" customHeight="1">
      <x:c r="A73" s="48" t="str">
        <x:f>IF(AND('Làm nhanh'!P172="Đã chấm",'Làm nhanh'!P173="Đã chấm"),MAX('Làm nhanh'!M172,'Làm nhanh'!M173),"")</x:f>
      </x:c>
      <x:c r="B73" s="40" t="str">
        <x:v>N4</x:v>
      </x:c>
      <x:c r="C73" s="40" t="str">
        <x:v>Ngữ pháp</x:v>
      </x:c>
      <x:c r="D73" s="49" t="str">
        <x:v>START18-N4-G</x:v>
      </x:c>
      <x:c r="E73" s="40" t="str">
        <x:f>IF(AND('Làm nhanh'!P172="Đã chấm",'Làm nhanh'!P173="Đã chấm"),IF(AND('Làm nhanh'!O172="Mới",'Làm nhanh'!O173="Mới"),"Mới","Ôn lại"),"")</x:f>
      </x:c>
      <x:c r="F73" s="50" t="str">
        <x:f>IF(AND('Làm nhanh'!P172="Đã chấm",'Làm nhanh'!P173="Đã chấm"),SUM('Làm nhanh'!L172,'Làm nhanh'!L173),"")</x:f>
      </x:c>
      <x:c r="G73" s="50" t="str">
        <x:f>IF(AND('Làm nhanh'!P172="Đã chấm",'Làm nhanh'!P173="Đã chấm"),SUM('Làm nhanh'!K172,'Làm nhanh'!K173),"")</x:f>
      </x:c>
      <x:c r="H73" s="50" t="str">
        <x:f>IF(AND('Làm nhanh'!P172="Đã chấm",'Làm nhanh'!P173="Đã chấm"),SUM('Làm nhanh'!N172,'Làm nhanh'!N173),"")</x:f>
      </x:c>
      <x:c r="I73" s="51" t="str">
        <x:f>IF(COUNT(F73:G73)&lt;2,"",IF(OR(G73&lt;=0,F73&lt;0,F73&gt;G73),"Lỗi nhập",F73/G73))</x:f>
      </x:c>
      <x:c r="J73" s="49"/>
      <x:c r="K73" s="39"/>
      <x:c r="L73" s="40" t="str">
        <x:f>IF(NOT(OR(COUNT(F73:H73)&gt;0,LEN(F73&amp;G73&amp;H73)&gt;0)),"",IF(NOT(ISNUMBER(I73)),"Lỗi/thiếu số đúng-tổng",IF(OR(MOD(F73,1)&lt;&gt;0,MOD(G73,1)&lt;&gt;0),"Lỗi/thiếu số đúng-tổng",IF(OR(AND(B73&lt;&gt;"N4",B73&lt;&gt;"N3",B73&lt;&gt;"N2"),AND(C73&lt;&gt;"Từ và kanji",C73&lt;&gt;"Ngữ pháp",C73&lt;&gt;"Đọc",C73&lt;&gt;"Nghe")),"Sai cấp/kỹ năng",IF(OR(NOT(ISNUMBER(A73)),A73&lt;1),"Thiếu ngày đo",IF(D73="","Thiếu mã bài",IF(AND(E73&lt;&gt;"Mới",E73&lt;&gt;"Ôn lại"),"Thiếu loại câu",IF(OR(NOT(ISNUMBER(H73)),H73&lt;=0),"Thiếu phút",IF(AND(E73="Mới",COUNTIFS($B$8:$B$79,B73,$C$8:$C$79,C73,$D$8:$D$79,D73,$E$8:$E$79,"Mới",$G$8:$G$79,"&gt;0")&gt;1),"Trùng câu mới","Hợp lệ")))))))))</x:f>
      </x:c>
    </x:row>
    <x:row r="74" ht="25" customHeight="1">
      <x:c r="A74" s="48" t="str">
        <x:f>IF(AND('Làm nhanh'!P175="Đã chấm"),MAX('Làm nhanh'!M175),"")</x:f>
      </x:c>
      <x:c r="B74" s="40" t="str">
        <x:v>N4</x:v>
      </x:c>
      <x:c r="C74" s="40" t="str">
        <x:v>Đọc</x:v>
      </x:c>
      <x:c r="D74" s="49" t="str">
        <x:v>START18-N4-R</x:v>
      </x:c>
      <x:c r="E74" s="40" t="str">
        <x:f>IF(AND('Làm nhanh'!P175="Đã chấm"),IF(AND('Làm nhanh'!O175="Mới"),"Mới","Ôn lại"),"")</x:f>
      </x:c>
      <x:c r="F74" s="50" t="str">
        <x:f>IF(AND('Làm nhanh'!P175="Đã chấm"),SUM('Làm nhanh'!L175),"")</x:f>
      </x:c>
      <x:c r="G74" s="50" t="str">
        <x:f>IF(AND('Làm nhanh'!P175="Đã chấm"),SUM('Làm nhanh'!K175),"")</x:f>
      </x:c>
      <x:c r="H74" s="50" t="str">
        <x:f>IF(AND('Làm nhanh'!P175="Đã chấm"),SUM('Làm nhanh'!N175),"")</x:f>
      </x:c>
      <x:c r="I74" s="51" t="str">
        <x:f>IF(COUNT(F74:G74)&lt;2,"",IF(OR(G74&lt;=0,F74&lt;0,F74&gt;G74),"Lỗi nhập",F74/G74))</x:f>
      </x:c>
      <x:c r="J74" s="49"/>
      <x:c r="K74" s="39"/>
      <x:c r="L74" s="40" t="str">
        <x:f>IF(NOT(OR(COUNT(F74:H74)&gt;0,LEN(F74&amp;G74&amp;H74)&gt;0)),"",IF(NOT(ISNUMBER(I74)),"Lỗi/thiếu số đúng-tổng",IF(OR(MOD(F74,1)&lt;&gt;0,MOD(G74,1)&lt;&gt;0),"Lỗi/thiếu số đúng-tổng",IF(OR(AND(B74&lt;&gt;"N4",B74&lt;&gt;"N3",B74&lt;&gt;"N2"),AND(C74&lt;&gt;"Từ và kanji",C74&lt;&gt;"Ngữ pháp",C74&lt;&gt;"Đọc",C74&lt;&gt;"Nghe")),"Sai cấp/kỹ năng",IF(OR(NOT(ISNUMBER(A74)),A74&lt;1),"Thiếu ngày đo",IF(D74="","Thiếu mã bài",IF(AND(E74&lt;&gt;"Mới",E74&lt;&gt;"Ôn lại"),"Thiếu loại câu",IF(OR(NOT(ISNUMBER(H74)),H74&lt;=0),"Thiếu phút",IF(AND(E74="Mới",COUNTIFS($B$8:$B$79,B74,$C$8:$C$79,C74,$D$8:$D$79,D74,$E$8:$E$79,"Mới",$G$8:$G$79,"&gt;0")&gt;1),"Trùng câu mới","Hợp lệ")))))))))</x:f>
      </x:c>
    </x:row>
    <x:row r="75" ht="25" customHeight="1">
      <x:c r="A75" s="48" t="str">
        <x:f>IF(AND('Làm nhanh'!P176="Đã chấm",'Làm nhanh'!P177="Đã chấm"),MAX('Làm nhanh'!M176,'Làm nhanh'!M177),"")</x:f>
      </x:c>
      <x:c r="B75" s="40" t="str">
        <x:v>N4</x:v>
      </x:c>
      <x:c r="C75" s="40" t="str">
        <x:v>Nghe</x:v>
      </x:c>
      <x:c r="D75" s="49" t="str">
        <x:v>START18-N4-L</x:v>
      </x:c>
      <x:c r="E75" s="40" t="str">
        <x:f>IF(AND('Làm nhanh'!P176="Đã chấm",'Làm nhanh'!P177="Đã chấm"),IF(AND('Làm nhanh'!O176="Mới",'Làm nhanh'!O177="Mới"),"Mới","Ôn lại"),"")</x:f>
      </x:c>
      <x:c r="F75" s="50" t="str">
        <x:f>IF(AND('Làm nhanh'!P176="Đã chấm",'Làm nhanh'!P177="Đã chấm"),SUM('Làm nhanh'!L176,'Làm nhanh'!L177),"")</x:f>
      </x:c>
      <x:c r="G75" s="50" t="str">
        <x:f>IF(AND('Làm nhanh'!P176="Đã chấm",'Làm nhanh'!P177="Đã chấm"),SUM('Làm nhanh'!K176,'Làm nhanh'!K177),"")</x:f>
      </x:c>
      <x:c r="H75" s="50" t="str">
        <x:f>IF(AND('Làm nhanh'!P176="Đã chấm",'Làm nhanh'!P177="Đã chấm"),SUM('Làm nhanh'!N176,'Làm nhanh'!N177),"")</x:f>
      </x:c>
      <x:c r="I75" s="51" t="str">
        <x:f>IF(COUNT(F75:G75)&lt;2,"",IF(OR(G75&lt;=0,F75&lt;0,F75&gt;G75),"Lỗi nhập",F75/G75))</x:f>
      </x:c>
      <x:c r="J75" s="49"/>
      <x:c r="K75" s="39"/>
      <x:c r="L75" s="40" t="str">
        <x:f>IF(NOT(OR(COUNT(F75:H75)&gt;0,LEN(F75&amp;G75&amp;H75)&gt;0)),"",IF(NOT(ISNUMBER(I75)),"Lỗi/thiếu số đúng-tổng",IF(OR(MOD(F75,1)&lt;&gt;0,MOD(G75,1)&lt;&gt;0),"Lỗi/thiếu số đúng-tổng",IF(OR(AND(B75&lt;&gt;"N4",B75&lt;&gt;"N3",B75&lt;&gt;"N2"),AND(C75&lt;&gt;"Từ và kanji",C75&lt;&gt;"Ngữ pháp",C75&lt;&gt;"Đọc",C75&lt;&gt;"Nghe")),"Sai cấp/kỹ năng",IF(OR(NOT(ISNUMBER(A75)),A75&lt;1),"Thiếu ngày đo",IF(D75="","Thiếu mã bài",IF(AND(E75&lt;&gt;"Mới",E75&lt;&gt;"Ôn lại"),"Thiếu loại câu",IF(OR(NOT(ISNUMBER(H75)),H75&lt;=0),"Thiếu phút",IF(AND(E75="Mới",COUNTIFS($B$8:$B$79,B75,$C$8:$C$79,C75,$D$8:$D$79,D75,$E$8:$E$79,"Mới",$G$8:$G$79,"&gt;0")&gt;1),"Trùng câu mới","Hợp lệ")))))))))</x:f>
      </x:c>
    </x:row>
    <x:row r="76" ht="25" customHeight="1">
      <x:c r="A76" s="48" t="str">
        <x:f>IF(AND('Làm nhanh'!P179="Đã chấm"),MAX('Làm nhanh'!M179),"")</x:f>
      </x:c>
      <x:c r="B76" s="40" t="str">
        <x:v>N3</x:v>
      </x:c>
      <x:c r="C76" s="40" t="str">
        <x:v>Từ và kanji</x:v>
      </x:c>
      <x:c r="D76" s="49" t="str">
        <x:v>START18-N3-V</x:v>
      </x:c>
      <x:c r="E76" s="40" t="str">
        <x:f>IF(AND('Làm nhanh'!P179="Đã chấm"),IF(AND('Làm nhanh'!O179="Mới"),"Mới","Ôn lại"),"")</x:f>
      </x:c>
      <x:c r="F76" s="50" t="str">
        <x:f>IF(AND('Làm nhanh'!P179="Đã chấm"),SUM('Làm nhanh'!L179),"")</x:f>
      </x:c>
      <x:c r="G76" s="50" t="str">
        <x:f>IF(AND('Làm nhanh'!P179="Đã chấm"),SUM('Làm nhanh'!K179),"")</x:f>
      </x:c>
      <x:c r="H76" s="50" t="str">
        <x:f>IF(AND('Làm nhanh'!P179="Đã chấm"),SUM('Làm nhanh'!N179),"")</x:f>
      </x:c>
      <x:c r="I76" s="51" t="str">
        <x:f>IF(COUNT(F76:G76)&lt;2,"",IF(OR(G76&lt;=0,F76&lt;0,F76&gt;G76),"Lỗi nhập",F76/G76))</x:f>
      </x:c>
      <x:c r="J76" s="49"/>
      <x:c r="K76" s="39"/>
      <x:c r="L76" s="40" t="str">
        <x:f>IF(NOT(OR(COUNT(F76:H76)&gt;0,LEN(F76&amp;G76&amp;H76)&gt;0)),"",IF(NOT(ISNUMBER(I76)),"Lỗi/thiếu số đúng-tổng",IF(OR(MOD(F76,1)&lt;&gt;0,MOD(G76,1)&lt;&gt;0),"Lỗi/thiếu số đúng-tổng",IF(OR(AND(B76&lt;&gt;"N4",B76&lt;&gt;"N3",B76&lt;&gt;"N2"),AND(C76&lt;&gt;"Từ và kanji",C76&lt;&gt;"Ngữ pháp",C76&lt;&gt;"Đọc",C76&lt;&gt;"Nghe")),"Sai cấp/kỹ năng",IF(OR(NOT(ISNUMBER(A76)),A76&lt;1),"Thiếu ngày đo",IF(D76="","Thiếu mã bài",IF(AND(E76&lt;&gt;"Mới",E76&lt;&gt;"Ôn lại"),"Thiếu loại câu",IF(OR(NOT(ISNUMBER(H76)),H76&lt;=0),"Thiếu phút",IF(AND(E76="Mới",COUNTIFS($B$8:$B$79,B76,$C$8:$C$79,C76,$D$8:$D$79,D76,$E$8:$E$79,"Mới",$G$8:$G$79,"&gt;0")&gt;1),"Trùng câu mới","Hợp lệ")))))))))</x:f>
      </x:c>
    </x:row>
    <x:row r="77" ht="25" customHeight="1">
      <x:c r="A77" s="48" t="str">
        <x:f>IF(AND('Làm nhanh'!P178="Đã chấm"),MAX('Làm nhanh'!M178),"")</x:f>
      </x:c>
      <x:c r="B77" s="40" t="str">
        <x:v>N3</x:v>
      </x:c>
      <x:c r="C77" s="40" t="str">
        <x:v>Ngữ pháp</x:v>
      </x:c>
      <x:c r="D77" s="49" t="str">
        <x:v>START18-N3-G</x:v>
      </x:c>
      <x:c r="E77" s="40" t="str">
        <x:f>IF(AND('Làm nhanh'!P178="Đã chấm"),IF(AND('Làm nhanh'!O178="Mới"),"Mới","Ôn lại"),"")</x:f>
      </x:c>
      <x:c r="F77" s="50" t="str">
        <x:f>IF(AND('Làm nhanh'!P178="Đã chấm"),SUM('Làm nhanh'!L178),"")</x:f>
      </x:c>
      <x:c r="G77" s="50" t="str">
        <x:f>IF(AND('Làm nhanh'!P178="Đã chấm"),SUM('Làm nhanh'!K178),"")</x:f>
      </x:c>
      <x:c r="H77" s="50" t="str">
        <x:f>IF(AND('Làm nhanh'!P178="Đã chấm"),SUM('Làm nhanh'!N178),"")</x:f>
      </x:c>
      <x:c r="I77" s="51" t="str">
        <x:f>IF(COUNT(F77:G77)&lt;2,"",IF(OR(G77&lt;=0,F77&lt;0,F77&gt;G77),"Lỗi nhập",F77/G77))</x:f>
      </x:c>
      <x:c r="J77" s="49"/>
      <x:c r="K77" s="39"/>
      <x:c r="L77" s="40" t="str">
        <x:f>IF(NOT(OR(COUNT(F77:H77)&gt;0,LEN(F77&amp;G77&amp;H77)&gt;0)),"",IF(NOT(ISNUMBER(I77)),"Lỗi/thiếu số đúng-tổng",IF(OR(MOD(F77,1)&lt;&gt;0,MOD(G77,1)&lt;&gt;0),"Lỗi/thiếu số đúng-tổng",IF(OR(AND(B77&lt;&gt;"N4",B77&lt;&gt;"N3",B77&lt;&gt;"N2"),AND(C77&lt;&gt;"Từ và kanji",C77&lt;&gt;"Ngữ pháp",C77&lt;&gt;"Đọc",C77&lt;&gt;"Nghe")),"Sai cấp/kỹ năng",IF(OR(NOT(ISNUMBER(A77)),A77&lt;1),"Thiếu ngày đo",IF(D77="","Thiếu mã bài",IF(AND(E77&lt;&gt;"Mới",E77&lt;&gt;"Ôn lại"),"Thiếu loại câu",IF(OR(NOT(ISNUMBER(H77)),H77&lt;=0),"Thiếu phút",IF(AND(E77="Mới",COUNTIFS($B$8:$B$79,B77,$C$8:$C$79,C77,$D$8:$D$79,D77,$E$8:$E$79,"Mới",$G$8:$G$79,"&gt;0")&gt;1),"Trùng câu mới","Hợp lệ")))))))))</x:f>
      </x:c>
    </x:row>
    <x:row r="78" ht="25" customHeight="1">
      <x:c r="A78" s="48" t="str">
        <x:f>IF(AND('Làm nhanh'!P180="Đã chấm"),MAX('Làm nhanh'!M180),"")</x:f>
      </x:c>
      <x:c r="B78" s="40" t="str">
        <x:v>N3</x:v>
      </x:c>
      <x:c r="C78" s="40" t="str">
        <x:v>Đọc</x:v>
      </x:c>
      <x:c r="D78" s="49" t="str">
        <x:v>START18-N3-R</x:v>
      </x:c>
      <x:c r="E78" s="40" t="str">
        <x:f>IF(AND('Làm nhanh'!P180="Đã chấm"),IF(AND('Làm nhanh'!O180="Mới"),"Mới","Ôn lại"),"")</x:f>
      </x:c>
      <x:c r="F78" s="50" t="str">
        <x:f>IF(AND('Làm nhanh'!P180="Đã chấm"),SUM('Làm nhanh'!L180),"")</x:f>
      </x:c>
      <x:c r="G78" s="50" t="str">
        <x:f>IF(AND('Làm nhanh'!P180="Đã chấm"),SUM('Làm nhanh'!K180),"")</x:f>
      </x:c>
      <x:c r="H78" s="50" t="str">
        <x:f>IF(AND('Làm nhanh'!P180="Đã chấm"),SUM('Làm nhanh'!N180),"")</x:f>
      </x:c>
      <x:c r="I78" s="51" t="str">
        <x:f>IF(COUNT(F78:G78)&lt;2,"",IF(OR(G78&lt;=0,F78&lt;0,F78&gt;G78),"Lỗi nhập",F78/G78))</x:f>
      </x:c>
      <x:c r="J78" s="49"/>
      <x:c r="K78" s="39"/>
      <x:c r="L78" s="40" t="str">
        <x:f>IF(NOT(OR(COUNT(F78:H78)&gt;0,LEN(F78&amp;G78&amp;H78)&gt;0)),"",IF(NOT(ISNUMBER(I78)),"Lỗi/thiếu số đúng-tổng",IF(OR(MOD(F78,1)&lt;&gt;0,MOD(G78,1)&lt;&gt;0),"Lỗi/thiếu số đúng-tổng",IF(OR(AND(B78&lt;&gt;"N4",B78&lt;&gt;"N3",B78&lt;&gt;"N2"),AND(C78&lt;&gt;"Từ và kanji",C78&lt;&gt;"Ngữ pháp",C78&lt;&gt;"Đọc",C78&lt;&gt;"Nghe")),"Sai cấp/kỹ năng",IF(OR(NOT(ISNUMBER(A78)),A78&lt;1),"Thiếu ngày đo",IF(D78="","Thiếu mã bài",IF(AND(E78&lt;&gt;"Mới",E78&lt;&gt;"Ôn lại"),"Thiếu loại câu",IF(OR(NOT(ISNUMBER(H78)),H78&lt;=0),"Thiếu phút",IF(AND(E78="Mới",COUNTIFS($B$8:$B$79,B78,$C$8:$C$79,C78,$D$8:$D$79,D78,$E$8:$E$79,"Mới",$G$8:$G$79,"&gt;0")&gt;1),"Trùng câu mới","Hợp lệ")))))))))</x:f>
      </x:c>
    </x:row>
    <x:row r="79" ht="25" customHeight="1">
      <x:c r="A79" s="48" t="str">
        <x:f>IF(AND('Làm nhanh'!P181="Đã chấm",'Làm nhanh'!P182="Đã chấm"),MAX('Làm nhanh'!M181,'Làm nhanh'!M182),"")</x:f>
      </x:c>
      <x:c r="B79" s="40" t="str">
        <x:v>N3</x:v>
      </x:c>
      <x:c r="C79" s="40" t="str">
        <x:v>Nghe</x:v>
      </x:c>
      <x:c r="D79" s="49" t="str">
        <x:v>START18-N3-L</x:v>
      </x:c>
      <x:c r="E79" s="40" t="str">
        <x:f>IF(AND('Làm nhanh'!P181="Đã chấm",'Làm nhanh'!P182="Đã chấm"),IF(AND('Làm nhanh'!O181="Mới",'Làm nhanh'!O182="Mới"),"Mới","Ôn lại"),"")</x:f>
      </x:c>
      <x:c r="F79" s="50" t="str">
        <x:f>IF(AND('Làm nhanh'!P181="Đã chấm",'Làm nhanh'!P182="Đã chấm"),SUM('Làm nhanh'!L181,'Làm nhanh'!L182),"")</x:f>
      </x:c>
      <x:c r="G79" s="50" t="str">
        <x:f>IF(AND('Làm nhanh'!P181="Đã chấm",'Làm nhanh'!P182="Đã chấm"),SUM('Làm nhanh'!K181,'Làm nhanh'!K182),"")</x:f>
      </x:c>
      <x:c r="H79" s="50" t="str">
        <x:f>IF(AND('Làm nhanh'!P181="Đã chấm",'Làm nhanh'!P182="Đã chấm"),SUM('Làm nhanh'!N181,'Làm nhanh'!N182),"")</x:f>
      </x:c>
      <x:c r="I79" s="51" t="str">
        <x:f>IF(COUNT(F79:G79)&lt;2,"",IF(OR(G79&lt;=0,F79&lt;0,F79&gt;G79),"Lỗi nhập",F79/G79))</x:f>
      </x:c>
      <x:c r="J79" s="49"/>
      <x:c r="K79" s="39"/>
      <x:c r="L79" s="40" t="str">
        <x:f>IF(NOT(OR(COUNT(F79:H79)&gt;0,LEN(F79&amp;G79&amp;H79)&gt;0)),"",IF(NOT(ISNUMBER(I79)),"Lỗi/thiếu số đúng-tổng",IF(OR(MOD(F79,1)&lt;&gt;0,MOD(G79,1)&lt;&gt;0),"Lỗi/thiếu số đúng-tổng",IF(OR(AND(B79&lt;&gt;"N4",B79&lt;&gt;"N3",B79&lt;&gt;"N2"),AND(C79&lt;&gt;"Từ và kanji",C79&lt;&gt;"Ngữ pháp",C79&lt;&gt;"Đọc",C79&lt;&gt;"Nghe")),"Sai cấp/kỹ năng",IF(OR(NOT(ISNUMBER(A79)),A79&lt;1),"Thiếu ngày đo",IF(D79="","Thiếu mã bài",IF(AND(E79&lt;&gt;"Mới",E79&lt;&gt;"Ôn lại"),"Thiếu loại câu",IF(OR(NOT(ISNUMBER(H79)),H79&lt;=0),"Thiếu phút",IF(AND(E79="Mới",COUNTIFS($B$8:$B$79,B79,$C$8:$C$79,C79,$D$8:$D$79,D79,$E$8:$E$79,"Mới",$G$8:$G$79,"&gt;0")&gt;1),"Trùng câu mới","Hợp lệ")))))))))</x:f>
      </x:c>
    </x:row>
  </x:sheetData>
  <x:conditionalFormatting sqref="I8:I71">
    <x:cfRule type="expression" dxfId="1" priority="1">
      <x:formula>AND(ISNUMBER(I8),I8&lt;0.6)</x:formula>
    </x:cfRule>
    <x:cfRule type="expression" dxfId="2" priority="2">
      <x:formula>AND(ISNUMBER(I8),I8&gt;=0.6,I8&lt;0.8)</x:formula>
    </x:cfRule>
    <x:cfRule type="expression" dxfId="3" priority="3">
      <x:formula>AND(ISNUMBER(I8),I8&gt;=0.8)</x:formula>
    </x:cfRule>
    <x:cfRule type="containsText" dxfId="4" priority="4" operator="containsText" text="Lỗi nhập"/>
  </x:conditionalFormatting>
  <x:conditionalFormatting sqref="L8:L79">
    <x:cfRule type="expression" dxfId="7" priority="5">
      <x:formula>AND(L8&lt;&gt;"",L8&lt;&gt;"Hợp lệ")</x:formula>
    </x:cfRule>
  </x:conditionalFormatting>
  <x:dataValidations count="5">
    <x:dataValidation type="list" errorStyle="stop" allowBlank="1" showErrorMessage="1" errorTitle="Giá trị chưa hợp lệ" error="Nhập đúng phạm vi; 0 là bỏ câu, trống là chưa làm." sqref="B8:B71">
      <x:formula1>"N4,N3,N2"</x:formula1>
    </x:dataValidation>
    <x:dataValidation type="list" errorStyle="stop" allowBlank="1" showErrorMessage="1" errorTitle="Giá trị chưa hợp lệ" error="Nhập đúng phạm vi; 0 là bỏ câu, trống là chưa làm." sqref="C8:C71">
      <x:formula1>"Từ và kanji,Ngữ pháp,Đọc,Nghe"</x:formula1>
    </x:dataValidation>
    <x:dataValidation type="list" errorStyle="stop" allowBlank="1" showErrorMessage="1" errorTitle="Giá trị chưa hợp lệ" error="Nhập đúng phạm vi; 0 là bỏ câu, trống là chưa làm." sqref="E8:E71">
      <x:formula1>"Mới,Ôn lại"</x:formula1>
    </x:dataValidation>
    <x:dataValidation type="whole" errorStyle="stop" operator="between" allowBlank="1" showErrorMessage="1" errorTitle="Giá trị chưa hợp lệ" error="Nhập đúng phạm vi; 0 là bỏ câu, trống là chưa làm." sqref="F8:H71">
      <x:formula1>0</x:formula1>
      <x:formula2>1000</x:formula2>
    </x:dataValidation>
    <x:dataValidation type="list" errorStyle="stop" allowBlank="1" showErrorMessage="1" errorTitle="Giá trị chưa hợp lệ" error="Nhập đúng phạm vi; 0 là bỏ câu, trống là chưa làm." sqref="K8:K79">
      <x:formula1>"V,G,R,A,M,T,F"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4C62"/>
  </x:sheetPr>
  <x:sheetViews>
    <x:sheetView showGridLines="0" workbookViewId="0" tabSelected="0"/>
  </x:sheetViews>
  <x:sheetFormatPr defaultRowHeight="15"/>
  <x:cols>
    <x:col min="1" max="1" width="24" hidden="0" customWidth="1"/>
    <x:col min="2" max="2" width="20" hidden="0" customWidth="1"/>
    <x:col min="3" max="3" width="14" hidden="0" customWidth="1"/>
    <x:col min="4" max="4" width="15" hidden="0" customWidth="1"/>
    <x:col min="5" max="5" width="18" hidden="0" customWidth="1"/>
    <x:col min="6" max="6" width="15" hidden="0" customWidth="1"/>
    <x:col min="7" max="7" width="27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25" customHeight="1">
      <x:c r="A2" s="10" t="str">
        <x:v>Tổng hợp học tiếng Nhật trong tuần</x:v>
      </x:c>
      <x:c r="B2" s="2"/>
      <x:c r="C2" s="2"/>
      <x:c r="D2" s="2"/>
      <x:c r="E2" s="2"/>
      <x:c r="F2" s="2"/>
      <x:c r="G2" s="2"/>
    </x:row>
    <x:row r="3" ht="9" customHeight="1">
      <x:c r="A3" s="2"/>
      <x:c r="B3" s="2"/>
      <x:c r="C3" s="2"/>
      <x:c r="D3" s="2"/>
      <x:c r="E3" s="2"/>
      <x:c r="F3" s="2"/>
      <x:c r="G3" s="2"/>
    </x:row>
    <x:row r="4" ht="25" customHeight="1">
      <x:c r="A4" s="2" t="str">
        <x:v>Tuần từ</x:v>
      </x:c>
      <x:c r="B4" s="52" t="n">
        <x:v>46310</x:v>
      </x:c>
      <x:c r="C4" s="2" t="str">
        <x:v>đến</x:v>
      </x:c>
      <x:c r="D4" s="53" t="n">
        <x:f>B4+6</x:f>
        <x:v>46316</x:v>
      </x:c>
      <x:c r="E4" s="12" t="str">
        <x:v>Đổi ngày ở B4 khi cần.</x:v>
      </x:c>
      <x:c r="F4" s="2"/>
      <x:c r="G4" s="2"/>
    </x:row>
    <x:row r="5" ht="9" customHeight="1">
      <x:c r="A5" s="2"/>
      <x:c r="B5" s="2"/>
      <x:c r="C5" s="2"/>
      <x:c r="D5" s="2"/>
      <x:c r="E5" s="2"/>
      <x:c r="F5" s="2"/>
      <x:c r="G5" s="2"/>
    </x:row>
    <x:row r="6" ht="34" customHeight="1">
      <x:c r="A6" s="36" t="str">
        <x:v>Chỉ số</x:v>
      </x:c>
      <x:c r="B6" s="37" t="str">
        <x:v>Kết quả</x:v>
      </x:c>
      <x:c r="C6" s="38" t="str">
        <x:v>Cỡ mẫu</x:v>
      </x:c>
      <x:c r="D6" s="2"/>
      <x:c r="E6" s="36" t="str">
        <x:v>Mã lỗi</x:v>
      </x:c>
      <x:c r="F6" s="37" t="str">
        <x:v>Bản ghi</x:v>
      </x:c>
      <x:c r="G6" s="38" t="str">
        <x:v>Ý nghĩa</x:v>
      </x:c>
    </x:row>
    <x:row r="7" ht="25" customHeight="1">
      <x:c r="A7" s="2" t="str">
        <x:v>Phút học</x:v>
      </x:c>
      <x:c r="B7" s="13" t="str">
        <x:f>IF(C7=0,"",SUMIFS('Nhật ký'!$E$8:$E$59,'Nhật ký'!$A$8:$A$59,"&gt;="&amp;$B$4,'Nhật ký'!$A$8:$A$59,"&lt;"&amp;($B$4+7),'Nhật ký'!$O$8:$O$59,1))</x:f>
      </x:c>
      <x:c r="C7" s="13" t="n">
        <x:f>SUMIFS('Nhật ký'!$O$8:$O$59,'Nhật ký'!$A$8:$A$59,"&gt;="&amp;$B$4,'Nhật ký'!$A$8:$A$59,"&lt;"&amp;($B$4+7))</x:f>
        <x:v>0</x:v>
      </x:c>
      <x:c r="D7" s="2"/>
      <x:c r="E7" s="2" t="str">
        <x:v>V</x:v>
      </x:c>
      <x:c r="F7" s="13" t="n">
        <x:f>COUNTIFS('Nhật ký'!$A$8:$A$59,"&gt;="&amp;$B$4,'Nhật ký'!$A$8:$A$59,"&lt;"&amp;($B$4+7),'Nhật ký'!$I$8:$I$59,E7)+COUNTIFS('Làm nhanh'!$M$172:$M$182,"&gt;="&amp;$B$4,'Làm nhanh'!$M$172:$M$182,"&lt;"&amp;($B$4+7),'Làm nhanh'!$Q$172:$Q$182,E7,'Làm nhanh'!$P$172:$P$182,"Đã chấm")</x:f>
        <x:v>0</x:v>
      </x:c>
      <x:c r="G7" s="2" t="str">
        <x:v>Từ/kanji</x:v>
      </x:c>
    </x:row>
    <x:row r="8" ht="25" customHeight="1">
      <x:c r="A8" s="2" t="str">
        <x:v>Phút nghe</x:v>
      </x:c>
      <x:c r="B8" s="13" t="str">
        <x:f>IF(C8=0,"",SUMIFS('Nhật ký'!$F$8:$F$59,'Nhật ký'!$A$8:$A$59,"&gt;="&amp;$B$4,'Nhật ký'!$A$8:$A$59,"&lt;"&amp;($B$4+7),'Nhật ký'!$M$8:$M$59,1))</x:f>
      </x:c>
      <x:c r="C8" s="13" t="n">
        <x:f>SUMIFS('Nhật ký'!$M$8:$M$59,'Nhật ký'!$A$8:$A$59,"&gt;="&amp;$B$4,'Nhật ký'!$A$8:$A$59,"&lt;"&amp;($B$4+7))</x:f>
        <x:v>0</x:v>
      </x:c>
      <x:c r="D8" s="2"/>
      <x:c r="E8" s="2" t="str">
        <x:v>G</x:v>
      </x:c>
      <x:c r="F8" s="13" t="n">
        <x:f>COUNTIFS('Nhật ký'!$A$8:$A$59,"&gt;="&amp;$B$4,'Nhật ký'!$A$8:$A$59,"&lt;"&amp;($B$4+7),'Nhật ký'!$I$8:$I$59,E8)+COUNTIFS('Làm nhanh'!$M$172:$M$182,"&gt;="&amp;$B$4,'Làm nhanh'!$M$172:$M$182,"&lt;"&amp;($B$4+7),'Làm nhanh'!$Q$172:$Q$182,E8,'Làm nhanh'!$P$172:$P$182,"Đã chấm")</x:f>
        <x:v>0</x:v>
      </x:c>
      <x:c r="G8" s="2" t="str">
        <x:v>Ngữ pháp</x:v>
      </x:c>
    </x:row>
    <x:row r="9" ht="25" customHeight="1">
      <x:c r="A9" s="2" t="str">
        <x:v>Phút nói</x:v>
      </x:c>
      <x:c r="B9" s="13" t="str">
        <x:f>IF(C9=0,"",SUMIFS('Nhật ký'!$G$8:$G$59,'Nhật ký'!$A$8:$A$59,"&gt;="&amp;$B$4,'Nhật ký'!$A$8:$A$59,"&lt;"&amp;($B$4+7),'Nhật ký'!$N$8:$N$59,1))</x:f>
      </x:c>
      <x:c r="C9" s="13" t="n">
        <x:f>SUMIFS('Nhật ký'!$N$8:$N$59,'Nhật ký'!$A$8:$A$59,"&gt;="&amp;$B$4,'Nhật ký'!$A$8:$A$59,"&lt;"&amp;($B$4+7))</x:f>
        <x:v>0</x:v>
      </x:c>
      <x:c r="D9" s="2"/>
      <x:c r="E9" s="2" t="str">
        <x:v>R</x:v>
      </x:c>
      <x:c r="F9" s="13" t="n">
        <x:f>COUNTIFS('Nhật ký'!$A$8:$A$59,"&gt;="&amp;$B$4,'Nhật ký'!$A$8:$A$59,"&lt;"&amp;($B$4+7),'Nhật ký'!$I$8:$I$59,E9)+COUNTIFS('Làm nhanh'!$M$172:$M$182,"&gt;="&amp;$B$4,'Làm nhanh'!$M$172:$M$182,"&lt;"&amp;($B$4+7),'Làm nhanh'!$Q$172:$Q$182,E9,'Làm nhanh'!$P$172:$P$182,"Đã chấm")</x:f>
        <x:v>0</x:v>
      </x:c>
      <x:c r="G9" s="2" t="str">
        <x:v>Nối ý đọc</x:v>
      </x:c>
    </x:row>
    <x:row r="10" ht="25" customHeight="1">
      <x:c r="A10" s="2" t="str">
        <x:v>Ngủ TB (giờ/24h)</x:v>
      </x:c>
      <x:c r="B10" s="54" t="str">
        <x:f>IF(C10=0,"",SUMIFS('Nhật ký'!$B$8:$B$59,'Nhật ký'!$A$8:$A$59,"&gt;="&amp;$B$4,'Nhật ký'!$A$8:$A$59,"&lt;"&amp;($B$4+7),'Nhật ký'!$K$8:$K$59,1)/C10)</x:f>
      </x:c>
      <x:c r="C10" s="13" t="n">
        <x:f>SUMIFS('Nhật ký'!$K$8:$K$59,'Nhật ký'!$A$8:$A$59,"&gt;="&amp;$B$4,'Nhật ký'!$A$8:$A$59,"&lt;"&amp;($B$4+7))</x:f>
        <x:v>0</x:v>
      </x:c>
      <x:c r="D10" s="2"/>
      <x:c r="E10" s="2" t="str">
        <x:v>A</x:v>
      </x:c>
      <x:c r="F10" s="13" t="n">
        <x:f>COUNTIFS('Nhật ký'!$A$8:$A$59,"&gt;="&amp;$B$4,'Nhật ký'!$A$8:$A$59,"&lt;"&amp;($B$4+7),'Nhật ký'!$I$8:$I$59,E10)+COUNTIFS('Làm nhanh'!$M$172:$M$182,"&gt;="&amp;$B$4,'Làm nhanh'!$M$172:$M$182,"&lt;"&amp;($B$4+7),'Làm nhanh'!$Q$172:$Q$182,E10,'Làm nhanh'!$P$172:$P$182,"Đã chấm")</x:f>
        <x:v>0</x:v>
      </x:c>
      <x:c r="G10" s="2" t="str">
        <x:v>Nhận diện âm</x:v>
      </x:c>
    </x:row>
    <x:row r="11" ht="25" customHeight="1">
      <x:c r="A11" s="2" t="str">
        <x:v>Mệt TB (1–5)</x:v>
      </x:c>
      <x:c r="B11" s="54" t="str">
        <x:f>IF(C11=0,"",SUMIFS('Nhật ký'!$C$8:$C$59,'Nhật ký'!$A$8:$A$59,"&gt;="&amp;$B$4,'Nhật ký'!$A$8:$A$59,"&lt;"&amp;($B$4+7),'Nhật ký'!$L$8:$L$59,1)/C11)</x:f>
      </x:c>
      <x:c r="C11" s="13" t="n">
        <x:f>SUMIFS('Nhật ký'!$L$8:$L$59,'Nhật ký'!$A$8:$A$59,"&gt;="&amp;$B$4,'Nhật ký'!$A$8:$A$59,"&lt;"&amp;($B$4+7))</x:f>
        <x:v>0</x:v>
      </x:c>
      <x:c r="D11" s="2"/>
      <x:c r="E11" s="2" t="str">
        <x:v>M</x:v>
      </x:c>
      <x:c r="F11" s="13" t="n">
        <x:f>COUNTIFS('Nhật ký'!$A$8:$A$59,"&gt;="&amp;$B$4,'Nhật ký'!$A$8:$A$59,"&lt;"&amp;($B$4+7),'Nhật ký'!$I$8:$I$59,E11)+COUNTIFS('Làm nhanh'!$M$172:$M$182,"&gt;="&amp;$B$4,'Làm nhanh'!$M$172:$M$182,"&lt;"&amp;($B$4+7),'Làm nhanh'!$Q$172:$Q$182,E11,'Làm nhanh'!$P$172:$P$182,"Đã chấm")</x:f>
        <x:v>0</x:v>
      </x:c>
      <x:c r="G11" s="2" t="str">
        <x:v>Giữ thông tin</x:v>
      </x:c>
    </x:row>
    <x:row r="12" ht="25" customHeight="1">
      <x:c r="A12" s="2" t="str">
        <x:v>Nhật ký cần sửa</x:v>
      </x:c>
      <x:c r="B12" s="13" t="n">
        <x:f>SUM(COUNTIFS('Nhật ký'!$A$8:$A$59,"&gt;="&amp;$B$4,'Nhật ký'!$A$8:$A$59,"&lt;"&amp;($B$4+7),'Nhật ký'!$J$8:$J$59,"Lỗi ngủ/mệt"),COUNTIFS('Nhật ký'!$A$8:$A$59,"&gt;="&amp;$B$4,'Nhật ký'!$A$8:$A$59,"&lt;"&amp;($B$4+7),'Nhật ký'!$J$8:$J$59,"Thiếu tổng phút"),COUNTIFS('Nhật ký'!$A$8:$A$59,"&gt;="&amp;$B$4,'Nhật ký'!$A$8:$A$59,"&lt;"&amp;($B$4+7),'Nhật ký'!$J$8:$J$59,"Lỗi phút"),COUNTIFS('Nhật ký'!$A$8:$A$59,"&gt;="&amp;$B$4,'Nhật ký'!$A$8:$A$59,"&lt;"&amp;($B$4+7),'Nhật ký'!$J$8:$J$59,"Nghe+nói vượt tổng"),COUNTIFS('Nhật ký'!$A$8:$A$59,"&gt;="&amp;$B$4,'Nhật ký'!$A$8:$A$59,"&lt;"&amp;($B$4+7),'Nhật ký'!$J$8:$J$59,"Thiếu chế độ"),COUNTIFS('Nhật ký'!$A$8:$A$59,"&gt;="&amp;$B$4,'Nhật ký'!$A$8:$A$59,"&lt;"&amp;($B$4+7),'Nhật ký'!$J$8:$J$59,"Lỗi mã"))</x:f>
        <x:v>0</x:v>
      </x:c>
      <x:c r="C12" s="13"/>
      <x:c r="D12" s="2"/>
      <x:c r="E12" s="2" t="str">
        <x:v>T</x:v>
      </x:c>
      <x:c r="F12" s="13" t="n">
        <x:f>COUNTIFS('Nhật ký'!$A$8:$A$59,"&gt;="&amp;$B$4,'Nhật ký'!$A$8:$A$59,"&lt;"&amp;($B$4+7),'Nhật ký'!$I$8:$I$59,E12)+COUNTIFS('Làm nhanh'!$M$172:$M$182,"&gt;="&amp;$B$4,'Làm nhanh'!$M$172:$M$182,"&lt;"&amp;($B$4+7),'Làm nhanh'!$Q$172:$Q$182,E12,'Làm nhanh'!$P$172:$P$182,"Đã chấm")</x:f>
        <x:v>0</x:v>
      </x:c>
      <x:c r="G12" s="2" t="str">
        <x:v>Thời gian</x:v>
      </x:c>
    </x:row>
    <x:row r="13" ht="25" customHeight="1">
      <x:c r="A13" s="2" t="str">
        <x:v>Bản đo cần sửa</x:v>
      </x:c>
      <x:c r="B13" s="13" t="n">
        <x:f>SUM(COUNTIF('Đo năng lực'!$L$8:$L$79,"Lỗi/thiếu số đúng-tổng"),COUNTIF('Đo năng lực'!$L$8:$L$79,"Sai cấp/kỹ năng"),COUNTIF('Đo năng lực'!$L$8:$L$79,"Thiếu ngày đo"),COUNTIF('Đo năng lực'!$L$8:$L$79,"Thiếu mã bài"),COUNTIF('Đo năng lực'!$L$8:$L$79,"Thiếu loại câu"),COUNTIF('Đo năng lực'!$L$8:$L$79,"Thiếu phút"),COUNTIF('Đo năng lực'!$L$8:$L$79,"Trùng câu mới"))</x:f>
        <x:v>0</x:v>
      </x:c>
      <x:c r="C13" s="13" t="str">
        <x:v>toàn sổ</x:v>
      </x:c>
      <x:c r="D13" s="2"/>
      <x:c r="E13" s="2" t="str">
        <x:v>F</x:v>
      </x:c>
      <x:c r="F13" s="13" t="n">
        <x:f>COUNTIFS('Nhật ký'!$A$8:$A$59,"&gt;="&amp;$B$4,'Nhật ký'!$A$8:$A$59,"&lt;"&amp;($B$4+7),'Nhật ký'!$I$8:$I$59,E13)+COUNTIFS('Làm nhanh'!$M$172:$M$182,"&gt;="&amp;$B$4,'Làm nhanh'!$M$172:$M$182,"&lt;"&amp;($B$4+7),'Làm nhanh'!$Q$172:$Q$182,E13,'Làm nhanh'!$P$172:$P$182,"Đã chấm")</x:f>
        <x:v>0</x:v>
      </x:c>
      <x:c r="G13" s="2" t="str">
        <x:v>Mệt/gián đoạn</x:v>
      </x:c>
    </x:row>
    <x:row r="14" ht="9" customHeight="1">
      <x:c r="A14" s="2"/>
      <x:c r="B14" s="2"/>
      <x:c r="C14" s="2"/>
      <x:c r="D14" s="2"/>
      <x:c r="E14" s="2"/>
      <x:c r="F14" s="2"/>
      <x:c r="G14" s="2"/>
    </x:row>
    <x:row r="15" ht="25" customHeight="1">
      <x:c r="A15" s="12" t="str">
        <x:v>Câu Mới trong tuần, có ngày/phút/mã bài hợp lệ. Mỗi cấp và kỹ năng giữ riêng.</x:v>
      </x:c>
      <x:c r="B15" s="2"/>
      <x:c r="C15" s="2"/>
      <x:c r="D15" s="2"/>
      <x:c r="E15" s="2"/>
      <x:c r="F15" s="2"/>
      <x:c r="G15" s="2"/>
    </x:row>
    <x:row r="16" ht="9" customHeight="1">
      <x:c r="A16" s="2"/>
      <x:c r="B16" s="2"/>
      <x:c r="C16" s="2"/>
      <x:c r="D16" s="2"/>
      <x:c r="E16" s="2"/>
      <x:c r="F16" s="2"/>
      <x:c r="G16" s="2"/>
    </x:row>
    <x:row r="17" ht="34" customHeight="1">
      <x:c r="A17" s="36" t="str">
        <x:v>Cấp</x:v>
      </x:c>
      <x:c r="B17" s="37" t="str">
        <x:v>Kỹ năng</x:v>
      </x:c>
      <x:c r="C17" s="37" t="str">
        <x:v>Đúng</x:v>
      </x:c>
      <x:c r="D17" s="37" t="str">
        <x:v>Tổng câu</x:v>
      </x:c>
      <x:c r="E17" s="37" t="str">
        <x:v>Độ đúng thô</x:v>
      </x:c>
      <x:c r="F17" s="37" t="str">
        <x:v>Phút làm</x:v>
      </x:c>
      <x:c r="G17" s="38" t="str">
        <x:v>Cỡ mẫu</x:v>
      </x:c>
    </x:row>
    <x:row r="18" ht="25" customHeight="1">
      <x:c r="A18" s="2" t="str">
        <x:v>N4</x:v>
      </x:c>
      <x:c r="B18" s="2" t="str">
        <x:v>Từ và kanji</x:v>
      </x:c>
      <x:c r="C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lực'!$F$8:$F$79,'Đo năng lực'!$A$8:$A$79,"&gt;="&amp;$B$4,'Đo năng lực'!$A$8:$A$79,"&lt;"&amp;($B$4+7),'Đo năng lực'!$B$8:$B$79,A18,'Đo năng lực'!$C$8:$C$79,B18,'Đo năng lực'!$E$8:$E$79,"Mới",'Đo năng lực'!$L$8:$L$79,"Hợp lệ"))</x:f>
      </x:c>
      <x:c r="D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lực'!$G$8:$G$79,'Đo năng lực'!$A$8:$A$79,"&gt;="&amp;$B$4,'Đo năng lực'!$A$8:$A$79,"&lt;"&amp;($B$4+7),'Đo năng lực'!$B$8:$B$79,A18,'Đo năng lực'!$C$8:$C$79,B18,'Đo năng lực'!$E$8:$E$79,"Mới",'Đo năng lực'!$L$8:$L$79,"Hợp lệ"))</x:f>
      </x:c>
      <x:c r="E18" s="27" t="str">
        <x:f>IF(COUNT(C18:D18)&lt;2,"",IF(D18&gt;0,C18/D18,""))</x:f>
      </x:c>
      <x:c r="F18" s="2" t="str">
        <x:f>IF(COUNTIFS('Đo năng lực'!$A$8:$A$79,"&gt;="&amp;$B$4,'Đo năng lực'!$A$8:$A$79,"&lt;"&amp;($B$4+7),'Đo năng lực'!$B$8:$B$79,A18,'Đo năng lực'!$C$8:$C$79,B18,'Đo năng lực'!$E$8:$E$79,"Mới",'Đo năng lực'!$L$8:$L$79,"Hợp lệ")=0,"",SUMIFS('Đo năng lực'!$H$8:$H$79,'Đo năng lực'!$A$8:$A$79,"&gt;="&amp;$B$4,'Đo năng lực'!$A$8:$A$79,"&lt;"&amp;($B$4+7),'Đo năng lực'!$B$8:$B$79,A18,'Đo năng lực'!$C$8:$C$79,B18,'Đo năng lực'!$E$8:$E$79,"Mới",'Đo năng lực'!$L$8:$L$79,"Hợp lệ"))</x:f>
      </x:c>
      <x:c r="G18" s="2" t="str">
        <x:f>IF(COUNT(D18)=0,"Chưa đo",IF(D18&lt;10,"Mẫu nhỏ","Có "&amp;D18&amp;" câu"))</x:f>
        <x:v>Chưa đo</x:v>
      </x:c>
    </x:row>
    <x:row r="19" ht="25" customHeight="1">
      <x:c r="A19" s="2" t="str">
        <x:v>N4</x:v>
      </x:c>
      <x:c r="B19" s="2" t="str">
        <x:v>Ngữ pháp</x:v>
      </x:c>
      <x:c r="C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lực'!$F$8:$F$79,'Đo năng lực'!$A$8:$A$79,"&gt;="&amp;$B$4,'Đo năng lực'!$A$8:$A$79,"&lt;"&amp;($B$4+7),'Đo năng lực'!$B$8:$B$79,A19,'Đo năng lực'!$C$8:$C$79,B19,'Đo năng lực'!$E$8:$E$79,"Mới",'Đo năng lực'!$L$8:$L$79,"Hợp lệ"))</x:f>
      </x:c>
      <x:c r="D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lực'!$G$8:$G$79,'Đo năng lực'!$A$8:$A$79,"&gt;="&amp;$B$4,'Đo năng lực'!$A$8:$A$79,"&lt;"&amp;($B$4+7),'Đo năng lực'!$B$8:$B$79,A19,'Đo năng lực'!$C$8:$C$79,B19,'Đo năng lực'!$E$8:$E$79,"Mới",'Đo năng lực'!$L$8:$L$79,"Hợp lệ"))</x:f>
      </x:c>
      <x:c r="E19" s="27" t="str">
        <x:f>IF(COUNT(C19:D19)&lt;2,"",IF(D19&gt;0,C19/D19,""))</x:f>
      </x:c>
      <x:c r="F19" s="2" t="str">
        <x:f>IF(COUNTIFS('Đo năng lực'!$A$8:$A$79,"&gt;="&amp;$B$4,'Đo năng lực'!$A$8:$A$79,"&lt;"&amp;($B$4+7),'Đo năng lực'!$B$8:$B$79,A19,'Đo năng lực'!$C$8:$C$79,B19,'Đo năng lực'!$E$8:$E$79,"Mới",'Đo năng lực'!$L$8:$L$79,"Hợp lệ")=0,"",SUMIFS('Đo năng lực'!$H$8:$H$79,'Đo năng lực'!$A$8:$A$79,"&gt;="&amp;$B$4,'Đo năng lực'!$A$8:$A$79,"&lt;"&amp;($B$4+7),'Đo năng lực'!$B$8:$B$79,A19,'Đo năng lực'!$C$8:$C$79,B19,'Đo năng lực'!$E$8:$E$79,"Mới",'Đo năng lực'!$L$8:$L$79,"Hợp lệ"))</x:f>
      </x:c>
      <x:c r="G19" s="2" t="str">
        <x:f>IF(COUNT(D19)=0,"Chưa đo",IF(D19&lt;10,"Mẫu nhỏ","Có "&amp;D19&amp;" câu"))</x:f>
        <x:v>Chưa đo</x:v>
      </x:c>
    </x:row>
    <x:row r="20" ht="25" customHeight="1">
      <x:c r="A20" s="2" t="str">
        <x:v>N4</x:v>
      </x:c>
      <x:c r="B20" s="2" t="str">
        <x:v>Đọc</x:v>
      </x:c>
      <x:c r="C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lực'!$F$8:$F$79,'Đo năng lực'!$A$8:$A$79,"&gt;="&amp;$B$4,'Đo năng lực'!$A$8:$A$79,"&lt;"&amp;($B$4+7),'Đo năng lực'!$B$8:$B$79,A20,'Đo năng lực'!$C$8:$C$79,B20,'Đo năng lực'!$E$8:$E$79,"Mới",'Đo năng lực'!$L$8:$L$79,"Hợp lệ"))</x:f>
      </x:c>
      <x:c r="D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lực'!$G$8:$G$79,'Đo năng lực'!$A$8:$A$79,"&gt;="&amp;$B$4,'Đo năng lực'!$A$8:$A$79,"&lt;"&amp;($B$4+7),'Đo năng lực'!$B$8:$B$79,A20,'Đo năng lực'!$C$8:$C$79,B20,'Đo năng lực'!$E$8:$E$79,"Mới",'Đo năng lực'!$L$8:$L$79,"Hợp lệ"))</x:f>
      </x:c>
      <x:c r="E20" s="27" t="str">
        <x:f>IF(COUNT(C20:D20)&lt;2,"",IF(D20&gt;0,C20/D20,""))</x:f>
      </x:c>
      <x:c r="F20" s="2" t="str">
        <x:f>IF(COUNTIFS('Đo năng lực'!$A$8:$A$79,"&gt;="&amp;$B$4,'Đo năng lực'!$A$8:$A$79,"&lt;"&amp;($B$4+7),'Đo năng lực'!$B$8:$B$79,A20,'Đo năng lực'!$C$8:$C$79,B20,'Đo năng lực'!$E$8:$E$79,"Mới",'Đo năng lực'!$L$8:$L$79,"Hợp lệ")=0,"",SUMIFS('Đo năng lực'!$H$8:$H$79,'Đo năng lực'!$A$8:$A$79,"&gt;="&amp;$B$4,'Đo năng lực'!$A$8:$A$79,"&lt;"&amp;($B$4+7),'Đo năng lực'!$B$8:$B$79,A20,'Đo năng lực'!$C$8:$C$79,B20,'Đo năng lực'!$E$8:$E$79,"Mới",'Đo năng lực'!$L$8:$L$79,"Hợp lệ"))</x:f>
      </x:c>
      <x:c r="G20" s="2" t="str">
        <x:f>IF(COUNT(D20)=0,"Chưa đo",IF(D20&lt;10,"Mẫu nhỏ","Có "&amp;D20&amp;" câu"))</x:f>
        <x:v>Chưa đo</x:v>
      </x:c>
    </x:row>
    <x:row r="21" ht="25" customHeight="1">
      <x:c r="A21" s="2" t="str">
        <x:v>N4</x:v>
      </x:c>
      <x:c r="B21" s="2" t="str">
        <x:v>Nghe</x:v>
      </x:c>
      <x:c r="C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lực'!$F$8:$F$79,'Đo năng lực'!$A$8:$A$79,"&gt;="&amp;$B$4,'Đo năng lực'!$A$8:$A$79,"&lt;"&amp;($B$4+7),'Đo năng lực'!$B$8:$B$79,A21,'Đo năng lực'!$C$8:$C$79,B21,'Đo năng lực'!$E$8:$E$79,"Mới",'Đo năng lực'!$L$8:$L$79,"Hợp lệ"))</x:f>
      </x:c>
      <x:c r="D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lực'!$G$8:$G$79,'Đo năng lực'!$A$8:$A$79,"&gt;="&amp;$B$4,'Đo năng lực'!$A$8:$A$79,"&lt;"&amp;($B$4+7),'Đo năng lực'!$B$8:$B$79,A21,'Đo năng lực'!$C$8:$C$79,B21,'Đo năng lực'!$E$8:$E$79,"Mới",'Đo năng lực'!$L$8:$L$79,"Hợp lệ"))</x:f>
      </x:c>
      <x:c r="E21" s="27" t="str">
        <x:f>IF(COUNT(C21:D21)&lt;2,"",IF(D21&gt;0,C21/D21,""))</x:f>
      </x:c>
      <x:c r="F21" s="2" t="str">
        <x:f>IF(COUNTIFS('Đo năng lực'!$A$8:$A$79,"&gt;="&amp;$B$4,'Đo năng lực'!$A$8:$A$79,"&lt;"&amp;($B$4+7),'Đo năng lực'!$B$8:$B$79,A21,'Đo năng lực'!$C$8:$C$79,B21,'Đo năng lực'!$E$8:$E$79,"Mới",'Đo năng lực'!$L$8:$L$79,"Hợp lệ")=0,"",SUMIFS('Đo năng lực'!$H$8:$H$79,'Đo năng lực'!$A$8:$A$79,"&gt;="&amp;$B$4,'Đo năng lực'!$A$8:$A$79,"&lt;"&amp;($B$4+7),'Đo năng lực'!$B$8:$B$79,A21,'Đo năng lực'!$C$8:$C$79,B21,'Đo năng lực'!$E$8:$E$79,"Mới",'Đo năng lực'!$L$8:$L$79,"Hợp lệ"))</x:f>
      </x:c>
      <x:c r="G21" s="2" t="str">
        <x:f>IF(COUNT(D21)=0,"Chưa đo",IF(D21&lt;10,"Mẫu nhỏ","Có "&amp;D21&amp;" câu"))</x:f>
        <x:v>Chưa đo</x:v>
      </x:c>
    </x:row>
    <x:row r="22" ht="25" customHeight="1">
      <x:c r="A22" s="2" t="str">
        <x:v>N3</x:v>
      </x:c>
      <x:c r="B22" s="2" t="str">
        <x:v>Từ và kanji</x:v>
      </x:c>
      <x:c r="C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lực'!$F$8:$F$79,'Đo năng lực'!$A$8:$A$79,"&gt;="&amp;$B$4,'Đo năng lực'!$A$8:$A$79,"&lt;"&amp;($B$4+7),'Đo năng lực'!$B$8:$B$79,A22,'Đo năng lực'!$C$8:$C$79,B22,'Đo năng lực'!$E$8:$E$79,"Mới",'Đo năng lực'!$L$8:$L$79,"Hợp lệ"))</x:f>
      </x:c>
      <x:c r="D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lực'!$G$8:$G$79,'Đo năng lực'!$A$8:$A$79,"&gt;="&amp;$B$4,'Đo năng lực'!$A$8:$A$79,"&lt;"&amp;($B$4+7),'Đo năng lực'!$B$8:$B$79,A22,'Đo năng lực'!$C$8:$C$79,B22,'Đo năng lực'!$E$8:$E$79,"Mới",'Đo năng lực'!$L$8:$L$79,"Hợp lệ"))</x:f>
      </x:c>
      <x:c r="E22" s="27" t="str">
        <x:f>IF(COUNT(C22:D22)&lt;2,"",IF(D22&gt;0,C22/D22,""))</x:f>
      </x:c>
      <x:c r="F22" s="2" t="str">
        <x:f>IF(COUNTIFS('Đo năng lực'!$A$8:$A$79,"&gt;="&amp;$B$4,'Đo năng lực'!$A$8:$A$79,"&lt;"&amp;($B$4+7),'Đo năng lực'!$B$8:$B$79,A22,'Đo năng lực'!$C$8:$C$79,B22,'Đo năng lực'!$E$8:$E$79,"Mới",'Đo năng lực'!$L$8:$L$79,"Hợp lệ")=0,"",SUMIFS('Đo năng lực'!$H$8:$H$79,'Đo năng lực'!$A$8:$A$79,"&gt;="&amp;$B$4,'Đo năng lực'!$A$8:$A$79,"&lt;"&amp;($B$4+7),'Đo năng lực'!$B$8:$B$79,A22,'Đo năng lực'!$C$8:$C$79,B22,'Đo năng lực'!$E$8:$E$79,"Mới",'Đo năng lực'!$L$8:$L$79,"Hợp lệ"))</x:f>
      </x:c>
      <x:c r="G22" s="2" t="str">
        <x:f>IF(COUNT(D22)=0,"Chưa đo",IF(D22&lt;10,"Mẫu nhỏ","Có "&amp;D22&amp;" câu"))</x:f>
        <x:v>Chưa đo</x:v>
      </x:c>
    </x:row>
    <x:row r="23" ht="25" customHeight="1">
      <x:c r="A23" s="2" t="str">
        <x:v>N3</x:v>
      </x:c>
      <x:c r="B23" s="2" t="str">
        <x:v>Ngữ pháp</x:v>
      </x:c>
      <x:c r="C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lực'!$F$8:$F$79,'Đo năng lực'!$A$8:$A$79,"&gt;="&amp;$B$4,'Đo năng lực'!$A$8:$A$79,"&lt;"&amp;($B$4+7),'Đo năng lực'!$B$8:$B$79,A23,'Đo năng lực'!$C$8:$C$79,B23,'Đo năng lực'!$E$8:$E$79,"Mới",'Đo năng lực'!$L$8:$L$79,"Hợp lệ"))</x:f>
      </x:c>
      <x:c r="D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lực'!$G$8:$G$79,'Đo năng lực'!$A$8:$A$79,"&gt;="&amp;$B$4,'Đo năng lực'!$A$8:$A$79,"&lt;"&amp;($B$4+7),'Đo năng lực'!$B$8:$B$79,A23,'Đo năng lực'!$C$8:$C$79,B23,'Đo năng lực'!$E$8:$E$79,"Mới",'Đo năng lực'!$L$8:$L$79,"Hợp lệ"))</x:f>
      </x:c>
      <x:c r="E23" s="27" t="str">
        <x:f>IF(COUNT(C23:D23)&lt;2,"",IF(D23&gt;0,C23/D23,""))</x:f>
      </x:c>
      <x:c r="F23" s="2" t="str">
        <x:f>IF(COUNTIFS('Đo năng lực'!$A$8:$A$79,"&gt;="&amp;$B$4,'Đo năng lực'!$A$8:$A$79,"&lt;"&amp;($B$4+7),'Đo năng lực'!$B$8:$B$79,A23,'Đo năng lực'!$C$8:$C$79,B23,'Đo năng lực'!$E$8:$E$79,"Mới",'Đo năng lực'!$L$8:$L$79,"Hợp lệ")=0,"",SUMIFS('Đo năng lực'!$H$8:$H$79,'Đo năng lực'!$A$8:$A$79,"&gt;="&amp;$B$4,'Đo năng lực'!$A$8:$A$79,"&lt;"&amp;($B$4+7),'Đo năng lực'!$B$8:$B$79,A23,'Đo năng lực'!$C$8:$C$79,B23,'Đo năng lực'!$E$8:$E$79,"Mới",'Đo năng lực'!$L$8:$L$79,"Hợp lệ"))</x:f>
      </x:c>
      <x:c r="G23" s="2" t="str">
        <x:f>IF(COUNT(D23)=0,"Chưa đo",IF(D23&lt;10,"Mẫu nhỏ","Có "&amp;D23&amp;" câu"))</x:f>
        <x:v>Chưa đo</x:v>
      </x:c>
    </x:row>
    <x:row r="24" ht="25" customHeight="1">
      <x:c r="A24" s="2" t="str">
        <x:v>N3</x:v>
      </x:c>
      <x:c r="B24" s="2" t="str">
        <x:v>Đọc</x:v>
      </x:c>
      <x:c r="C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lực'!$F$8:$F$79,'Đo năng lực'!$A$8:$A$79,"&gt;="&amp;$B$4,'Đo năng lực'!$A$8:$A$79,"&lt;"&amp;($B$4+7),'Đo năng lực'!$B$8:$B$79,A24,'Đo năng lực'!$C$8:$C$79,B24,'Đo năng lực'!$E$8:$E$79,"Mới",'Đo năng lực'!$L$8:$L$79,"Hợp lệ"))</x:f>
      </x:c>
      <x:c r="D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lực'!$G$8:$G$79,'Đo năng lực'!$A$8:$A$79,"&gt;="&amp;$B$4,'Đo năng lực'!$A$8:$A$79,"&lt;"&amp;($B$4+7),'Đo năng lực'!$B$8:$B$79,A24,'Đo năng lực'!$C$8:$C$79,B24,'Đo năng lực'!$E$8:$E$79,"Mới",'Đo năng lực'!$L$8:$L$79,"Hợp lệ"))</x:f>
      </x:c>
      <x:c r="E24" s="27" t="str">
        <x:f>IF(COUNT(C24:D24)&lt;2,"",IF(D24&gt;0,C24/D24,""))</x:f>
      </x:c>
      <x:c r="F24" s="2" t="str">
        <x:f>IF(COUNTIFS('Đo năng lực'!$A$8:$A$79,"&gt;="&amp;$B$4,'Đo năng lực'!$A$8:$A$79,"&lt;"&amp;($B$4+7),'Đo năng lực'!$B$8:$B$79,A24,'Đo năng lực'!$C$8:$C$79,B24,'Đo năng lực'!$E$8:$E$79,"Mới",'Đo năng lực'!$L$8:$L$79,"Hợp lệ")=0,"",SUMIFS('Đo năng lực'!$H$8:$H$79,'Đo năng lực'!$A$8:$A$79,"&gt;="&amp;$B$4,'Đo năng lực'!$A$8:$A$79,"&lt;"&amp;($B$4+7),'Đo năng lực'!$B$8:$B$79,A24,'Đo năng lực'!$C$8:$C$79,B24,'Đo năng lực'!$E$8:$E$79,"Mới",'Đo năng lực'!$L$8:$L$79,"Hợp lệ"))</x:f>
      </x:c>
      <x:c r="G24" s="2" t="str">
        <x:f>IF(COUNT(D24)=0,"Chưa đo",IF(D24&lt;10,"Mẫu nhỏ","Có "&amp;D24&amp;" câu"))</x:f>
        <x:v>Chưa đo</x:v>
      </x:c>
    </x:row>
    <x:row r="25" ht="25" customHeight="1">
      <x:c r="A25" s="2" t="str">
        <x:v>N3</x:v>
      </x:c>
      <x:c r="B25" s="2" t="str">
        <x:v>Nghe</x:v>
      </x:c>
      <x:c r="C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lực'!$F$8:$F$79,'Đo năng lực'!$A$8:$A$79,"&gt;="&amp;$B$4,'Đo năng lực'!$A$8:$A$79,"&lt;"&amp;($B$4+7),'Đo năng lực'!$B$8:$B$79,A25,'Đo năng lực'!$C$8:$C$79,B25,'Đo năng lực'!$E$8:$E$79,"Mới",'Đo năng lực'!$L$8:$L$79,"Hợp lệ"))</x:f>
      </x:c>
      <x:c r="D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lực'!$G$8:$G$79,'Đo năng lực'!$A$8:$A$79,"&gt;="&amp;$B$4,'Đo năng lực'!$A$8:$A$79,"&lt;"&amp;($B$4+7),'Đo năng lực'!$B$8:$B$79,A25,'Đo năng lực'!$C$8:$C$79,B25,'Đo năng lực'!$E$8:$E$79,"Mới",'Đo năng lực'!$L$8:$L$79,"Hợp lệ"))</x:f>
      </x:c>
      <x:c r="E25" s="27" t="str">
        <x:f>IF(COUNT(C25:D25)&lt;2,"",IF(D25&gt;0,C25/D25,""))</x:f>
      </x:c>
      <x:c r="F25" s="2" t="str">
        <x:f>IF(COUNTIFS('Đo năng lực'!$A$8:$A$79,"&gt;="&amp;$B$4,'Đo năng lực'!$A$8:$A$79,"&lt;"&amp;($B$4+7),'Đo năng lực'!$B$8:$B$79,A25,'Đo năng lực'!$C$8:$C$79,B25,'Đo năng lực'!$E$8:$E$79,"Mới",'Đo năng lực'!$L$8:$L$79,"Hợp lệ")=0,"",SUMIFS('Đo năng lực'!$H$8:$H$79,'Đo năng lực'!$A$8:$A$79,"&gt;="&amp;$B$4,'Đo năng lực'!$A$8:$A$79,"&lt;"&amp;($B$4+7),'Đo năng lực'!$B$8:$B$79,A25,'Đo năng lực'!$C$8:$C$79,B25,'Đo năng lực'!$E$8:$E$79,"Mới",'Đo năng lực'!$L$8:$L$79,"Hợp lệ"))</x:f>
      </x:c>
      <x:c r="G25" s="2" t="str">
        <x:f>IF(COUNT(D25)=0,"Chưa đo",IF(D25&lt;10,"Mẫu nhỏ","Có "&amp;D25&amp;" câu"))</x:f>
        <x:v>Chưa đo</x:v>
      </x:c>
    </x:row>
    <x:row r="26" ht="25" customHeight="1">
      <x:c r="A26" s="2" t="str">
        <x:v>N2</x:v>
      </x:c>
      <x:c r="B26" s="2" t="str">
        <x:v>Từ và kanji</x:v>
      </x:c>
      <x:c r="C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lực'!$F$8:$F$79,'Đo năng lực'!$A$8:$A$79,"&gt;="&amp;$B$4,'Đo năng lực'!$A$8:$A$79,"&lt;"&amp;($B$4+7),'Đo năng lực'!$B$8:$B$79,A26,'Đo năng lực'!$C$8:$C$79,B26,'Đo năng lực'!$E$8:$E$79,"Mới",'Đo năng lực'!$L$8:$L$79,"Hợp lệ"))</x:f>
      </x:c>
      <x:c r="D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lực'!$G$8:$G$79,'Đo năng lực'!$A$8:$A$79,"&gt;="&amp;$B$4,'Đo năng lực'!$A$8:$A$79,"&lt;"&amp;($B$4+7),'Đo năng lực'!$B$8:$B$79,A26,'Đo năng lực'!$C$8:$C$79,B26,'Đo năng lực'!$E$8:$E$79,"Mới",'Đo năng lực'!$L$8:$L$79,"Hợp lệ"))</x:f>
      </x:c>
      <x:c r="E26" s="27" t="str">
        <x:f>IF(COUNT(C26:D26)&lt;2,"",IF(D26&gt;0,C26/D26,""))</x:f>
      </x:c>
      <x:c r="F26" s="2" t="str">
        <x:f>IF(COUNTIFS('Đo năng lực'!$A$8:$A$79,"&gt;="&amp;$B$4,'Đo năng lực'!$A$8:$A$79,"&lt;"&amp;($B$4+7),'Đo năng lực'!$B$8:$B$79,A26,'Đo năng lực'!$C$8:$C$79,B26,'Đo năng lực'!$E$8:$E$79,"Mới",'Đo năng lực'!$L$8:$L$79,"Hợp lệ")=0,"",SUMIFS('Đo năng lực'!$H$8:$H$79,'Đo năng lực'!$A$8:$A$79,"&gt;="&amp;$B$4,'Đo năng lực'!$A$8:$A$79,"&lt;"&amp;($B$4+7),'Đo năng lực'!$B$8:$B$79,A26,'Đo năng lực'!$C$8:$C$79,B26,'Đo năng lực'!$E$8:$E$79,"Mới",'Đo năng lực'!$L$8:$L$79,"Hợp lệ"))</x:f>
      </x:c>
      <x:c r="G26" s="2" t="str">
        <x:f>IF(COUNT(D26)=0,"Chưa đo",IF(D26&lt;10,"Mẫu nhỏ","Có "&amp;D26&amp;" câu"))</x:f>
        <x:v>Chưa đo</x:v>
      </x:c>
    </x:row>
    <x:row r="27" ht="25" customHeight="1">
      <x:c r="A27" s="2" t="str">
        <x:v>N2</x:v>
      </x:c>
      <x:c r="B27" s="2" t="str">
        <x:v>Ngữ pháp</x:v>
      </x:c>
      <x:c r="C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lực'!$F$8:$F$79,'Đo năng lực'!$A$8:$A$79,"&gt;="&amp;$B$4,'Đo năng lực'!$A$8:$A$79,"&lt;"&amp;($B$4+7),'Đo năng lực'!$B$8:$B$79,A27,'Đo năng lực'!$C$8:$C$79,B27,'Đo năng lực'!$E$8:$E$79,"Mới",'Đo năng lực'!$L$8:$L$79,"Hợp lệ"))</x:f>
      </x:c>
      <x:c r="D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lực'!$G$8:$G$79,'Đo năng lực'!$A$8:$A$79,"&gt;="&amp;$B$4,'Đo năng lực'!$A$8:$A$79,"&lt;"&amp;($B$4+7),'Đo năng lực'!$B$8:$B$79,A27,'Đo năng lực'!$C$8:$C$79,B27,'Đo năng lực'!$E$8:$E$79,"Mới",'Đo năng lực'!$L$8:$L$79,"Hợp lệ"))</x:f>
      </x:c>
      <x:c r="E27" s="27" t="str">
        <x:f>IF(COUNT(C27:D27)&lt;2,"",IF(D27&gt;0,C27/D27,""))</x:f>
      </x:c>
      <x:c r="F27" s="2" t="str">
        <x:f>IF(COUNTIFS('Đo năng lực'!$A$8:$A$79,"&gt;="&amp;$B$4,'Đo năng lực'!$A$8:$A$79,"&lt;"&amp;($B$4+7),'Đo năng lực'!$B$8:$B$79,A27,'Đo năng lực'!$C$8:$C$79,B27,'Đo năng lực'!$E$8:$E$79,"Mới",'Đo năng lực'!$L$8:$L$79,"Hợp lệ")=0,"",SUMIFS('Đo năng lực'!$H$8:$H$79,'Đo năng lực'!$A$8:$A$79,"&gt;="&amp;$B$4,'Đo năng lực'!$A$8:$A$79,"&lt;"&amp;($B$4+7),'Đo năng lực'!$B$8:$B$79,A27,'Đo năng lực'!$C$8:$C$79,B27,'Đo năng lực'!$E$8:$E$79,"Mới",'Đo năng lực'!$L$8:$L$79,"Hợp lệ"))</x:f>
      </x:c>
      <x:c r="G27" s="2" t="str">
        <x:f>IF(COUNT(D27)=0,"Chưa đo",IF(D27&lt;10,"Mẫu nhỏ","Có "&amp;D27&amp;" câu"))</x:f>
        <x:v>Chưa đo</x:v>
      </x:c>
    </x:row>
    <x:row r="28" ht="25" customHeight="1">
      <x:c r="A28" s="2" t="str">
        <x:v>N2</x:v>
      </x:c>
      <x:c r="B28" s="2" t="str">
        <x:v>Đọc</x:v>
      </x:c>
      <x:c r="C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lực'!$F$8:$F$79,'Đo năng lực'!$A$8:$A$79,"&gt;="&amp;$B$4,'Đo năng lực'!$A$8:$A$79,"&lt;"&amp;($B$4+7),'Đo năng lực'!$B$8:$B$79,A28,'Đo năng lực'!$C$8:$C$79,B28,'Đo năng lực'!$E$8:$E$79,"Mới",'Đo năng lực'!$L$8:$L$79,"Hợp lệ"))</x:f>
      </x:c>
      <x:c r="D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lực'!$G$8:$G$79,'Đo năng lực'!$A$8:$A$79,"&gt;="&amp;$B$4,'Đo năng lực'!$A$8:$A$79,"&lt;"&amp;($B$4+7),'Đo năng lực'!$B$8:$B$79,A28,'Đo năng lực'!$C$8:$C$79,B28,'Đo năng lực'!$E$8:$E$79,"Mới",'Đo năng lực'!$L$8:$L$79,"Hợp lệ"))</x:f>
      </x:c>
      <x:c r="E28" s="27" t="str">
        <x:f>IF(COUNT(C28:D28)&lt;2,"",IF(D28&gt;0,C28/D28,""))</x:f>
      </x:c>
      <x:c r="F28" s="2" t="str">
        <x:f>IF(COUNTIFS('Đo năng lực'!$A$8:$A$79,"&gt;="&amp;$B$4,'Đo năng lực'!$A$8:$A$79,"&lt;"&amp;($B$4+7),'Đo năng lực'!$B$8:$B$79,A28,'Đo năng lực'!$C$8:$C$79,B28,'Đo năng lực'!$E$8:$E$79,"Mới",'Đo năng lực'!$L$8:$L$79,"Hợp lệ")=0,"",SUMIFS('Đo năng lực'!$H$8:$H$79,'Đo năng lực'!$A$8:$A$79,"&gt;="&amp;$B$4,'Đo năng lực'!$A$8:$A$79,"&lt;"&amp;($B$4+7),'Đo năng lực'!$B$8:$B$79,A28,'Đo năng lực'!$C$8:$C$79,B28,'Đo năng lực'!$E$8:$E$79,"Mới",'Đo năng lực'!$L$8:$L$79,"Hợp lệ"))</x:f>
      </x:c>
      <x:c r="G28" s="2" t="str">
        <x:f>IF(COUNT(D28)=0,"Chưa đo",IF(D28&lt;10,"Mẫu nhỏ","Có "&amp;D28&amp;" câu"))</x:f>
        <x:v>Chưa đo</x:v>
      </x:c>
    </x:row>
    <x:row r="29" ht="25" customHeight="1">
      <x:c r="A29" s="2" t="str">
        <x:v>N2</x:v>
      </x:c>
      <x:c r="B29" s="2" t="str">
        <x:v>Nghe</x:v>
      </x:c>
      <x:c r="C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lực'!$F$8:$F$79,'Đo năng lực'!$A$8:$A$79,"&gt;="&amp;$B$4,'Đo năng lực'!$A$8:$A$79,"&lt;"&amp;($B$4+7),'Đo năng lực'!$B$8:$B$79,A29,'Đo năng lực'!$C$8:$C$79,B29,'Đo năng lực'!$E$8:$E$79,"Mới",'Đo năng lực'!$L$8:$L$79,"Hợp lệ"))</x:f>
      </x:c>
      <x:c r="D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lực'!$G$8:$G$79,'Đo năng lực'!$A$8:$A$79,"&gt;="&amp;$B$4,'Đo năng lực'!$A$8:$A$79,"&lt;"&amp;($B$4+7),'Đo năng lực'!$B$8:$B$79,A29,'Đo năng lực'!$C$8:$C$79,B29,'Đo năng lực'!$E$8:$E$79,"Mới",'Đo năng lực'!$L$8:$L$79,"Hợp lệ"))</x:f>
      </x:c>
      <x:c r="E29" s="27" t="str">
        <x:f>IF(COUNT(C29:D29)&lt;2,"",IF(D29&gt;0,C29/D29,""))</x:f>
      </x:c>
      <x:c r="F29" s="2" t="str">
        <x:f>IF(COUNTIFS('Đo năng lực'!$A$8:$A$79,"&gt;="&amp;$B$4,'Đo năng lực'!$A$8:$A$79,"&lt;"&amp;($B$4+7),'Đo năng lực'!$B$8:$B$79,A29,'Đo năng lực'!$C$8:$C$79,B29,'Đo năng lực'!$E$8:$E$79,"Mới",'Đo năng lực'!$L$8:$L$79,"Hợp lệ")=0,"",SUMIFS('Đo năng lực'!$H$8:$H$79,'Đo năng lực'!$A$8:$A$79,"&gt;="&amp;$B$4,'Đo năng lực'!$A$8:$A$79,"&lt;"&amp;($B$4+7),'Đo năng lực'!$B$8:$B$79,A29,'Đo năng lực'!$C$8:$C$79,B29,'Đo năng lực'!$E$8:$E$79,"Mới",'Đo năng lực'!$L$8:$L$79,"Hợp lệ"))</x:f>
      </x:c>
      <x:c r="G29" s="2" t="str">
        <x:f>IF(COUNT(D29)=0,"Chưa đo",IF(D29&lt;10,"Mẫu nhỏ","Có "&amp;D29&amp;" câu"))</x:f>
        <x:v>Chưa đo</x:v>
      </x:c>
    </x:row>
    <x:row r="30" ht="9" customHeight="1">
      <x:c r="A30" s="2"/>
      <x:c r="B30" s="2"/>
      <x:c r="C30" s="2"/>
      <x:c r="D30" s="2"/>
      <x:c r="E30" s="2"/>
      <x:c r="F30" s="2"/>
      <x:c r="G30" s="2"/>
    </x:row>
    <x:row r="31" ht="25" customHeight="1">
      <x:c r="A31" s="2" t="str">
        <x:v>Khối N4 đã chấm</x:v>
      </x:c>
      <x:c r="B31" s="2" t="str">
        <x:f>COUNTIF('Làm nhanh'!$P$172:$P$177,"Đã chấm")&amp;"/6 khối"</x:f>
        <x:v>0/6 khối</x:v>
      </x:c>
      <x:c r="C31" s="2"/>
      <x:c r="D31" s="2" t="str">
        <x:v>N3 tùy chọn</x:v>
      </x:c>
      <x:c r="E31" s="2" t="str">
        <x:f>COUNTIF('Làm nhanh'!$P$178:$P$182,"Đã chấm")&amp;"/5 khối"</x:f>
        <x:v>0/5 khối</x:v>
      </x:c>
      <x:c r="F31" s="2"/>
      <x:c r="G31" s="2"/>
    </x:row>
    <x:row r="32" ht="9" customHeight="1">
      <x:c r="A32" s="2"/>
      <x:c r="B32" s="2"/>
      <x:c r="C32" s="2"/>
      <x:c r="D32" s="2"/>
      <x:c r="E32" s="2"/>
      <x:c r="F32" s="2"/>
      <x:c r="G32" s="2"/>
    </x:row>
    <x:row r="33" ht="25" customHeight="1">
      <x:c r="A33" s="58" t="str">
        <x:v>Mở Làm nhanh</x:v>
      </x:c>
      <x:c r="B33" s="2"/>
      <x:c r="C33" s="2"/>
      <x:c r="D33" s="44" t="str">
        <x:v>Ghi nhật ký ngày</x:v>
      </x:c>
      <x:c r="E33" s="2"/>
      <x:c r="F33" s="2"/>
      <x:c r="G33" s="2"/>
    </x:row>
    <x:row r="34" ht="9" customHeight="1">
      <x:c r="A34" s="2"/>
      <x:c r="B34" s="2"/>
      <x:c r="C34" s="2"/>
      <x:c r="D34" s="2"/>
      <x:c r="E34" s="2"/>
      <x:c r="F34" s="2"/>
      <x:c r="G34" s="2"/>
    </x:row>
    <x:row r="35" ht="25" customHeight="1">
      <x:c r="A35" s="12" t="str">
        <x:v>Màu 60% và 80% là mốc quan sát, không phải ngưỡng đỗ. Không đổi độ đúng thô sang điểm JLPT.</x:v>
      </x:c>
      <x:c r="B35" s="2"/>
      <x:c r="C35" s="2"/>
      <x:c r="D35" s="2"/>
      <x:c r="E35" s="2"/>
      <x:c r="F35" s="2"/>
      <x:c r="G35" s="2"/>
    </x:row>
    <x:row r="36" ht="25" customHeight="1">
      <x:c r="A36" s="12" t="str">
        <x:v>Trống là chưa có dữ liệu. Cỡ mẫu nhỏ cần đo thêm câu chưa thấy; không kết luận cấp độ từ vài câu.</x:v>
      </x:c>
      <x:c r="B36" s="2"/>
      <x:c r="C36" s="2"/>
      <x:c r="D36" s="2"/>
      <x:c r="E36" s="2"/>
      <x:c r="F36" s="2"/>
      <x:c r="G36" s="2"/>
    </x:row>
    <x:row r="38" ht="29" customHeight="1">
      <x:c r="A38" s="70" t="str">
        <x:v>Ngày bắt đầu thật</x:v>
      </x:c>
      <x:c r="B38" s="71"/>
      <x:c r="C38" s="70" t="str">
        <x:v>D7 (+7 ngày)</x:v>
      </x:c>
      <x:c r="D38" s="72" t="str">
        <x:f>IF(IF(ISNUMBER($B$38),AND($B$38&gt;=1,$B$38&lt;=2958451,MOD($B$38,1)=0),FALSE),B38+7,"Chưa đủ dữ liệu")</x:f>
        <x:v>Chưa đủ dữ liệu</x:v>
      </x:c>
      <x:c r="E38" s="70" t="str">
        <x:v>D14 (+14 ngày)</x:v>
      </x:c>
      <x:c r="F38" s="72" t="str">
        <x:f>IF(IF(ISNUMBER($B$38),AND($B$38&gt;=1,$B$38&lt;=2958451,MOD($B$38,1)=0),FALSE),B38+14,"Chưa đủ dữ liệu")</x:f>
        <x:v>Chưa đủ dữ liệu</x:v>
      </x:c>
      <x:c r="G38" s="70"/>
    </x:row>
    <x:row r="39" ht="29" customHeight="1">
      <x:c r="A39" s="70"/>
      <x:c r="B39" s="70"/>
      <x:c r="C39" s="70"/>
      <x:c r="D39" s="70"/>
      <x:c r="E39" s="70"/>
      <x:c r="F39" s="70"/>
      <x:c r="G39" s="70"/>
    </x:row>
    <x:row r="40" ht="29" customHeight="1">
      <x:c r="A40" s="70" t="str">
        <x:v>D7: dữ liệu để xem</x:v>
      </x:c>
      <x:c r="B40" s="70" t="str">
        <x:f>IF(NOT(IF(ISNUMBER($B$38),AND($B$38&gt;=1,$B$38&lt;=2958451,MOD($B$38,1)=0),FALSE)),"Chưa đủ dữ liệu",IF(AND(COUNTIFS('Nhật ký'!$A$8:$A$59,"&gt;="&amp;$B$38,'Nhật ký'!$A$8:$A$59,"&lt;="&amp;($B$38+7),'Nhật ký'!$J$8:$J$59,"Hợp lệ")&gt;=3,SUMIFS('Đo năng lực'!$G$8:$G$79,'Đo năng lực'!$A$8:$A$79,"&gt;="&amp;$B$38,'Đo năng lực'!$A$8:$A$79,"&lt;="&amp;($B$38+7),'Đo năng lực'!$B$8:$B$79,"N4",'Đo năng lực'!$E$8:$E$79,"Mới",'Đo năng lực'!$L$8:$L$79,"Hợp lệ",'Đo năng lực'!$C$8:$C$79,"Ngữ pháp")&gt;=10,SUMIFS('Đo năng lực'!$G$8:$G$79,'Đo năng lực'!$A$8:$A$79,"&gt;="&amp;$B$38,'Đo năng lực'!$A$8:$A$79,"&lt;="&amp;($B$38+7),'Đo năng lực'!$B$8:$B$79,"N4",'Đo năng lực'!$E$8:$E$79,"Mới",'Đo năng lực'!$L$8:$L$79,"Hợp lệ",'Đo năng lực'!$C$8:$C$79,"Đọc")&gt;=5,SUMIFS('Đo năng lực'!$G$8:$G$79,'Đo năng lực'!$A$8:$A$79,"&gt;="&amp;$B$38,'Đo năng lực'!$A$8:$A$79,"&lt;="&amp;($B$38+7),'Đo năng lực'!$B$8:$B$79,"N4",'Đo năng lực'!$E$8:$E$79,"Mới",'Đo năng lực'!$L$8:$L$79,"Hợp lệ",'Đo năng lực'!$C$8:$C$79,"Nghe")&gt;=5),"Có dữ liệu; tự đối chiếu trang 11","Chưa đủ dữ liệu"))</x:f>
        <x:v>Chưa đủ dữ liệu</x:v>
      </x:c>
      <x:c r="C40" s="70"/>
      <x:c r="D40" s="70"/>
      <x:c r="E40" s="70"/>
      <x:c r="F40" s="70"/>
      <x:c r="G40" s="70"/>
    </x:row>
    <x:row r="41" ht="29" customHeight="1">
      <x:c r="A41" s="70" t="str">
        <x:v>D14: dữ liệu để so</x:v>
      </x:c>
      <x:c r="B41" s="70" t="str">
        <x:f>IF(NOT(IF(ISNUMBER($B$38),AND($B$38&gt;=1,$B$38&lt;=2958451,MOD($B$38,1)=0),FALSE)),"Chưa đủ dữ liệu",IF(AND(COUNTIFS('Nhật ký'!$A$8:$A$59,"&gt;="&amp;$B$38,'Nhật ký'!$A$8:$A$59,"&lt;="&amp;($B$38+14),'Nhật ký'!$J$8:$J$59,"Hợp lệ")&gt;=3,SUMIFS('Đo năng lực'!$G$8:$G$79,'Đo năng lực'!$A$8:$A$79,"&gt;="&amp;$B$38,'Đo năng lực'!$A$8:$A$79,"&lt;="&amp;($B$38+14),'Đo năng lực'!$B$8:$B$79,"N4",'Đo năng lực'!$E$8:$E$79,"Mới",'Đo năng lực'!$L$8:$L$79,"Hợp lệ",'Đo năng lực'!$C$8:$C$79,"Ngữ pháp")&gt;=10,SUMIFS('Đo năng lực'!$G$8:$G$79,'Đo năng lực'!$A$8:$A$79,"&gt;="&amp;$B$38,'Đo năng lực'!$A$8:$A$79,"&lt;="&amp;($B$38+14),'Đo năng lực'!$B$8:$B$79,"N4",'Đo năng lực'!$E$8:$E$79,"Mới",'Đo năng lực'!$L$8:$L$79,"Hợp lệ",'Đo năng lực'!$C$8:$C$79,"Đọc")&gt;=5,SUMIFS('Đo năng lực'!$G$8:$G$79,'Đo năng lực'!$A$8:$A$79,"&gt;="&amp;$B$38,'Đo năng lực'!$A$8:$A$79,"&lt;="&amp;($B$38+14),'Đo năng lực'!$B$8:$B$79,"N4",'Đo năng lực'!$E$8:$E$79,"Mới",'Đo năng lực'!$L$8:$L$79,"Hợp lệ",'Đo năng lực'!$C$8:$C$79,"Nghe")&gt;=5,COUNTIFS('Đo năng lực'!$A$8:$A$79,"&gt;="&amp;$B$38,'Đo năng lực'!$A$8:$A$79,"&lt;="&amp;($B$38+14),'Đo năng lực'!$B$8:$B$79,"N4",'Đo năng lực'!$E$8:$E$79,"Mới",'Đo năng lực'!$L$8:$L$79,"Hợp lệ",'Đo năng lực'!$C$8:$C$79,"Ngữ pháp")&gt;=2),"Có dữ liệu; tự đối chiếu trang 11","Chưa đủ dữ liệu"))</x:f>
        <x:v>Chưa đủ dữ liệu</x:v>
      </x:c>
      <x:c r="C41" s="70"/>
      <x:c r="D41" s="70"/>
      <x:c r="E41" s="70"/>
      <x:c r="F41" s="70"/>
      <x:c r="G41" s="70"/>
    </x:row>
    <x:row r="42" ht="29" customHeight="1">
      <x:c r="A42" s="70"/>
      <x:c r="B42" s="70"/>
      <x:c r="C42" s="70"/>
      <x:c r="D42" s="70"/>
      <x:c r="E42" s="70"/>
      <x:c r="F42" s="70"/>
      <x:c r="G42" s="70"/>
    </x:row>
    <x:row r="43" ht="29" customHeight="1">
      <x:c r="A43" s="70" t="str">
        <x:v>B38 không đổi ngày lịch sử. Đổi B4 để xem tuần chứa ngày hoàn tất.</x:v>
      </x:c>
      <x:c r="B43" s="70"/>
      <x:c r="C43" s="70"/>
      <x:c r="D43" s="70"/>
      <x:c r="E43" s="70"/>
      <x:c r="F43" s="70"/>
      <x:c r="G43" s="70"/>
    </x:row>
    <x:row r="44" ht="29" customHeight="1">
      <x:c r="A44" s="70" t="str">
        <x:v>Chưa đủ dữ liệu là trạng thái hợp lệ; không tính khả năng đỗ N2.</x:v>
      </x:c>
      <x:c r="B44" s="70"/>
      <x:c r="C44" s="70"/>
      <x:c r="D44" s="70"/>
      <x:c r="E44" s="70"/>
      <x:c r="F44" s="70"/>
      <x:c r="G44" s="70"/>
    </x:row>
  </x:sheetData>
  <x:mergeCells>
    <x:mergeCell ref="B40:G40"/>
    <x:mergeCell ref="B41:G41"/>
  </x:mergeCells>
  <x:conditionalFormatting sqref="E18:E29">
    <x:cfRule type="expression" dxfId="8" priority="1">
      <x:formula>AND(ISNUMBER(E18),E18&lt;0.6)</x:formula>
    </x:cfRule>
    <x:cfRule type="expression" dxfId="9" priority="2">
      <x:formula>AND(ISNUMBER(E18),E18&gt;=0.6,E18&lt;0.8)</x:formula>
    </x:cfRule>
    <x:cfRule type="expression" dxfId="10" priority="3">
      <x:formula>AND(ISNUMBER(E18),E18&gt;=0.8)</x:formula>
    </x:cfRule>
  </x:conditionalFormatting>
  <x:conditionalFormatting sqref="B12:B13">
    <x:cfRule type="expression" dxfId="11" priority="4">
      <x:formula>B12&gt;0</x:formula>
    </x:cfRule>
  </x:conditionalFormatting>
  <x:dataValidations count="2">
    <x:dataValidation type="whole" errorStyle="stop" operator="between" allowBlank="1" showErrorMessage="1" errorTitle="Giá trị chưa hợp lệ" error="Nhập đúng phạm vi; 0 là bỏ câu, trống là chưa làm." sqref="B4">
      <x:formula1>1</x:formula1>
      <x:formula2>2958465</x:formula2>
    </x:dataValidation>
    <x:dataValidation type="whole" operator="between" sqref="B38" allowBlank="1" showErrorMessage="1" errorStyle="stop" errorTitle="Giá trị chưa hợp lệ" error="Nhập đúng phạm vi; 0 là bỏ câu, trống là chưa làm.">
      <x:formula1>1</x:formula1>
      <x:formula2>2958451</x:formula2>
    </x:dataValidation>
  </x:dataValidations>
  <x:hyperlinks>
    <x:hyperlink ref="A33" display="Mở Làm nhanh" location="'Làm nhanh'!B13"/>
    <x:hyperlink ref="D33" display="Ghi nhật ký ngày" location="'Nhật ký'!B8"/>
  </x:hyperlink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14C62"/>
  </x:sheetPr>
  <x:sheetViews>
    <x:sheetView showGridLines="0" workbookViewId="0" tabSelecte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8" hidden="0" customWidth="1"/>
    <x:col min="3" max="3" width="15" hidden="0" customWidth="1"/>
    <x:col min="4" max="4" width="11" hidden="0" customWidth="1"/>
    <x:col min="5" max="5" width="13" hidden="0" customWidth="1"/>
    <x:col min="6" max="6" width="12" hidden="0" customWidth="1"/>
    <x:col min="7" max="7" width="15" hidden="0" customWidth="1"/>
    <x:col min="8" max="8" width="13" hidden="0" customWidth="1"/>
    <x:col min="9" max="9" width="17" hidden="0" customWidth="1"/>
    <x:col min="10" max="10" width="24" hidden="0" customWidth="1"/>
    <x:col min="11" max="11" width="19" hidden="0" customWidth="1"/>
    <x:col min="13" max="16" hidden="1" width="14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10" t="str">
        <x:v>Phiếu đáp án chẩn đoán N4 và N3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5" customHeight="1">
      <x:c r="A4" s="12" t="str">
        <x:v>Chế độ chi tiết được giữ nguyên. Mỗi khối chọn một chế độ: trang này hoặc Làm nhanh.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12" t="str">
        <x:v>Sau lượt đo mở khóa trong hướng dẫn PDF; chọn G Đúng/Sai/Bỏ trống, H mã lỗi nếu biết.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12" t="str">
        <x:v>Cuối khối bấm Ghi ngày/phút rồi nhập H ngày thật, I phút làm, J Mới/Ôn lại. Ô xanh tự tính.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M6" t="str">
        <x:v>Khóa chính thức 2018, chỉ dùng tự học cá nhân; phần phụ trợ ẩn để tránh xem trước.</x:v>
      </x:c>
    </x:row>
    <x:row r="7" ht="34" customHeight="1">
      <x:c r="A7" s="36" t="str">
        <x:v>Khối</x:v>
      </x:c>
      <x:c r="B7" s="37" t="str">
        <x:v>Cấp</x:v>
      </x:c>
      <x:c r="C7" s="37" t="str">
        <x:v>Kỹ năng</x:v>
      </x:c>
      <x:c r="D7" s="37" t="str">
        <x:v>Câu</x:v>
      </x:c>
      <x:c r="E7" s="37" t="str">
        <x:v>Nguồn</x:v>
      </x:c>
      <x:c r="F7" s="37" t="str">
        <x:v>Bạn chọn</x:v>
      </x:c>
      <x:c r="G7" s="37" t="str">
        <x:v>Tự chấm</x:v>
      </x:c>
      <x:c r="H7" s="37" t="str">
        <x:v>Mã lỗi</x:v>
      </x:c>
      <x:c r="I7" s="37" t="str">
        <x:v>Kết thúc khối</x:v>
      </x:c>
      <x:c r="J7" s="37" t="str">
        <x:v>Kiểm tra câu</x:v>
      </x:c>
      <x:c r="K7" s="38" t="str">
        <x:v>Số lựa chọn</x:v>
      </x:c>
      <x:c r="M7" t="str">
        <x:v>Mã câu</x:v>
      </x:c>
      <x:c r="N7" t="str">
        <x:v>Khóa đã đối chiếu</x:v>
      </x:c>
      <x:c r="O7" t="str">
        <x:v>Vị trí nguồn</x:v>
      </x:c>
    </x:row>
    <x:row r="8" ht="25" customHeight="1">
      <x:c r="A8" s="2" t="str">
        <x:v>N4-G1</x:v>
      </x:c>
      <x:c r="B8" s="2" t="str">
        <x:v>N4</x:v>
      </x:c>
      <x:c r="C8" s="2" t="str">
        <x:v>Ngữ pháp</x:v>
      </x:c>
      <x:c r="D8" s="2" t="str">
        <x:v>1</x:v>
      </x:c>
      <x:c r="E8" s="44" t="str">
        <x:v>Mở đề</x:v>
      </x:c>
      <x:c r="F8" s="39"/>
      <x:c r="G8" s="39"/>
      <x:c r="H8" s="39"/>
      <x:c r="I8" s="2"/>
      <x:c r="J8" s="40" t="str">
        <x:f>IF(AND(ISBLANK(F8),ISBLANK(G8),ISBLANK(H8)),"",IF(NOT(ISNUMBER(F8)),"Lỗi đáp án",IF(OR(F8&lt;0,F8&gt;K8,MOD(F8,1)&lt;&gt;0),"Lỗi đáp án",IF(AND(LEN(H8)&gt;0,COUNTIF('Nhật ký'!$I$63:$I$69,H8)=0),"Lỗi mã",IF(AND(F8=0,G8="Bỏ trống"),"Đã chấm",IF(AND(F8&gt;0,OR(G8="Đúng",G8="Sai")),"Đã chấm",IF(ISBLANK(G8),"Chưa chấm","Kiểm tra bỏ trống")))))))</x:f>
      </x:c>
      <x:c r="K8" s="40" t="n">
        <x:v>4</x:v>
      </x:c>
      <x:c r="M8" t="str">
        <x:v>N4-G1:1</x:v>
      </x:c>
      <x:c r="N8" t="n">
        <x:v>3</x:v>
      </x:c>
      <x:c r="O8" t="str">
        <x:v>N4answer.pdf p1</x:v>
      </x:c>
    </x:row>
    <x:row r="9" ht="25" customHeight="1">
      <x:c r="A9" s="2" t="str">
        <x:v>N4-G1</x:v>
      </x:c>
      <x:c r="B9" s="2" t="str">
        <x:v>N4</x:v>
      </x:c>
      <x:c r="C9" s="2" t="str">
        <x:v>Ngữ pháp</x:v>
      </x:c>
      <x:c r="D9" s="2" t="str">
        <x:v>2</x:v>
      </x:c>
      <x:c r="E9" s="44" t="str">
        <x:v>Mở đề</x:v>
      </x:c>
      <x:c r="F9" s="39"/>
      <x:c r="G9" s="39"/>
      <x:c r="H9" s="39"/>
      <x:c r="I9" s="2"/>
      <x:c r="J9" s="40" t="str">
        <x:f>IF(AND(ISBLANK(F9),ISBLANK(G9),ISBLANK(H9)),"",IF(NOT(ISNUMBER(F9)),"Lỗi đáp án",IF(OR(F9&lt;0,F9&gt;K9,MOD(F9,1)&lt;&gt;0),"Lỗi đáp án",IF(AND(LEN(H9)&gt;0,COUNTIF('Nhật ký'!$I$63:$I$69,H9)=0),"Lỗi mã",IF(AND(F9=0,G9="Bỏ trống"),"Đã chấm",IF(AND(F9&gt;0,OR(G9="Đúng",G9="Sai")),"Đã chấm",IF(ISBLANK(G9),"Chưa chấm","Kiểm tra bỏ trống")))))))</x:f>
      </x:c>
      <x:c r="K9" s="40" t="n">
        <x:v>4</x:v>
      </x:c>
      <x:c r="M9" t="str">
        <x:v>N4-G1:2</x:v>
      </x:c>
      <x:c r="N9" t="n">
        <x:v>4</x:v>
      </x:c>
      <x:c r="O9" t="str">
        <x:v>N4answer.pdf p1</x:v>
      </x:c>
    </x:row>
    <x:row r="10" ht="25" customHeight="1">
      <x:c r="A10" s="2" t="str">
        <x:v>N4-G1</x:v>
      </x:c>
      <x:c r="B10" s="2" t="str">
        <x:v>N4</x:v>
      </x:c>
      <x:c r="C10" s="2" t="str">
        <x:v>Ngữ pháp</x:v>
      </x:c>
      <x:c r="D10" s="2" t="str">
        <x:v>3</x:v>
      </x:c>
      <x:c r="E10" s="44" t="str">
        <x:v>Mở đề</x:v>
      </x:c>
      <x:c r="F10" s="39"/>
      <x:c r="G10" s="39"/>
      <x:c r="H10" s="39"/>
      <x:c r="I10" s="2"/>
      <x:c r="J10" s="40" t="str">
        <x:f>IF(AND(ISBLANK(F10),ISBLANK(G10),ISBLANK(H10)),"",IF(NOT(ISNUMBER(F10)),"Lỗi đáp án",IF(OR(F10&lt;0,F10&gt;K10,MOD(F10,1)&lt;&gt;0),"Lỗi đáp án",IF(AND(LEN(H10)&gt;0,COUNTIF('Nhật ký'!$I$63:$I$69,H10)=0),"Lỗi mã",IF(AND(F10=0,G10="Bỏ trống"),"Đã chấm",IF(AND(F10&gt;0,OR(G10="Đúng",G10="Sai")),"Đã chấm",IF(ISBLANK(G10),"Chưa chấm","Kiểm tra bỏ trống")))))))</x:f>
      </x:c>
      <x:c r="K10" s="40" t="n">
        <x:v>4</x:v>
      </x:c>
      <x:c r="M10" t="str">
        <x:v>N4-G1:3</x:v>
      </x:c>
      <x:c r="N10" t="n">
        <x:v>2</x:v>
      </x:c>
      <x:c r="O10" t="str">
        <x:v>N4answer.pdf p1</x:v>
      </x:c>
    </x:row>
    <x:row r="11" ht="25" customHeight="1">
      <x:c r="A11" s="2" t="str">
        <x:v>N4-G1</x:v>
      </x:c>
      <x:c r="B11" s="2" t="str">
        <x:v>N4</x:v>
      </x:c>
      <x:c r="C11" s="2" t="str">
        <x:v>Ngữ pháp</x:v>
      </x:c>
      <x:c r="D11" s="2" t="str">
        <x:v>4</x:v>
      </x:c>
      <x:c r="E11" s="44" t="str">
        <x:v>Mở đề</x:v>
      </x:c>
      <x:c r="F11" s="39"/>
      <x:c r="G11" s="39"/>
      <x:c r="H11" s="39"/>
      <x:c r="I11" s="2"/>
      <x:c r="J11" s="40" t="str">
        <x:f>IF(AND(ISBLANK(F11),ISBLANK(G11),ISBLANK(H11)),"",IF(NOT(ISNUMBER(F11)),"Lỗi đáp án",IF(OR(F11&lt;0,F11&gt;K11,MOD(F11,1)&lt;&gt;0),"Lỗi đáp án",IF(AND(LEN(H11)&gt;0,COUNTIF('Nhật ký'!$I$63:$I$69,H11)=0),"Lỗi mã",IF(AND(F11=0,G11="Bỏ trống"),"Đã chấm",IF(AND(F11&gt;0,OR(G11="Đúng",G11="Sai")),"Đã chấm",IF(ISBLANK(G11),"Chưa chấm","Kiểm tra bỏ trống")))))))</x:f>
      </x:c>
      <x:c r="K11" s="40" t="n">
        <x:v>4</x:v>
      </x:c>
      <x:c r="M11" t="str">
        <x:v>N4-G1:4</x:v>
      </x:c>
      <x:c r="N11" t="n">
        <x:v>1</x:v>
      </x:c>
      <x:c r="O11" t="str">
        <x:v>N4answer.pdf p1</x:v>
      </x:c>
    </x:row>
    <x:row r="12" ht="25" customHeight="1">
      <x:c r="A12" s="2" t="str">
        <x:v>N4-G1</x:v>
      </x:c>
      <x:c r="B12" s="2" t="str">
        <x:v>N4</x:v>
      </x:c>
      <x:c r="C12" s="2" t="str">
        <x:v>Ngữ pháp</x:v>
      </x:c>
      <x:c r="D12" s="2" t="str">
        <x:v>5</x:v>
      </x:c>
      <x:c r="E12" s="44" t="str">
        <x:v>Mở đề</x:v>
      </x:c>
      <x:c r="F12" s="39"/>
      <x:c r="G12" s="39"/>
      <x:c r="H12" s="39"/>
      <x:c r="I12" s="2"/>
      <x:c r="J12" s="40" t="str">
        <x:f>IF(AND(ISBLANK(F12),ISBLANK(G12),ISBLANK(H12)),"",IF(NOT(ISNUMBER(F12)),"Lỗi đáp án",IF(OR(F12&lt;0,F12&gt;K12,MOD(F12,1)&lt;&gt;0),"Lỗi đáp án",IF(AND(LEN(H12)&gt;0,COUNTIF('Nhật ký'!$I$63:$I$69,H12)=0),"Lỗi mã",IF(AND(F12=0,G12="Bỏ trống"),"Đã chấm",IF(AND(F12&gt;0,OR(G12="Đúng",G12="Sai")),"Đã chấm",IF(ISBLANK(G12),"Chưa chấm","Kiểm tra bỏ trống")))))))</x:f>
      </x:c>
      <x:c r="K12" s="40" t="n">
        <x:v>4</x:v>
      </x:c>
      <x:c r="M12" t="str">
        <x:v>N4-G1:5</x:v>
      </x:c>
      <x:c r="N12" t="n">
        <x:v>4</x:v>
      </x:c>
      <x:c r="O12" t="str">
        <x:v>N4answer.pdf p1</x:v>
      </x:c>
    </x:row>
    <x:row r="13" ht="25" customHeight="1">
      <x:c r="A13" s="2" t="str">
        <x:v>N4-G1</x:v>
      </x:c>
      <x:c r="B13" s="2" t="str">
        <x:v>N4</x:v>
      </x:c>
      <x:c r="C13" s="2" t="str">
        <x:v>Ngữ pháp</x:v>
      </x:c>
      <x:c r="D13" s="2" t="str">
        <x:v>6</x:v>
      </x:c>
      <x:c r="E13" s="44" t="str">
        <x:v>Mở đề</x:v>
      </x:c>
      <x:c r="F13" s="39"/>
      <x:c r="G13" s="39"/>
      <x:c r="H13" s="39"/>
      <x:c r="I13" s="44" t="str">
        <x:v>Ghi ngày/phút</x:v>
      </x:c>
      <x:c r="J13" s="40" t="str">
        <x:f>IF(AND(ISBLANK(F13),ISBLANK(G13),ISBLANK(H13)),"",IF(NOT(ISNUMBER(F13)),"Lỗi đáp án",IF(OR(F13&lt;0,F13&gt;K13,MOD(F13,1)&lt;&gt;0),"Lỗi đáp án",IF(AND(LEN(H13)&gt;0,COUNTIF('Nhật ký'!$I$63:$I$69,H13)=0),"Lỗi mã",IF(AND(F13=0,G13="Bỏ trống"),"Đã chấm",IF(AND(F13&gt;0,OR(G13="Đúng",G13="Sai")),"Đã chấm",IF(ISBLANK(G13),"Chưa chấm","Kiểm tra bỏ trống")))))))</x:f>
      </x:c>
      <x:c r="K13" s="40" t="n">
        <x:v>4</x:v>
      </x:c>
      <x:c r="M13" t="str">
        <x:v>N4-G1:6</x:v>
      </x:c>
      <x:c r="N13" t="n">
        <x:v>1</x:v>
      </x:c>
      <x:c r="O13" t="str">
        <x:v>N4answer.pdf p1</x:v>
      </x:c>
    </x:row>
    <x:row r="14" ht="25" customHeight="1">
      <x:c r="A14" s="2" t="str">
        <x:v>N4-G2</x:v>
      </x:c>
      <x:c r="B14" s="2" t="str">
        <x:v>N4</x:v>
      </x:c>
      <x:c r="C14" s="2" t="str">
        <x:v>Ngữ pháp</x:v>
      </x:c>
      <x:c r="D14" s="2" t="str">
        <x:v>16</x:v>
      </x:c>
      <x:c r="E14" s="44" t="str">
        <x:v>Mở đề</x:v>
      </x:c>
      <x:c r="F14" s="39"/>
      <x:c r="G14" s="39"/>
      <x:c r="H14" s="39"/>
      <x:c r="I14" s="2"/>
      <x:c r="J14" s="40" t="str">
        <x:f>IF(AND(ISBLANK(F14),ISBLANK(G14),ISBLANK(H14)),"",IF(NOT(ISNUMBER(F14)),"Lỗi đáp án",IF(OR(F14&lt;0,F14&gt;K14,MOD(F14,1)&lt;&gt;0),"Lỗi đáp án",IF(AND(LEN(H14)&gt;0,COUNTIF('Nhật ký'!$I$63:$I$69,H14)=0),"Lỗi mã",IF(AND(F14=0,G14="Bỏ trống"),"Đã chấm",IF(AND(F14&gt;0,OR(G14="Đúng",G14="Sai")),"Đã chấm",IF(ISBLANK(G14),"Chưa chấm","Kiểm tra bỏ trống")))))))</x:f>
      </x:c>
      <x:c r="K14" s="40" t="n">
        <x:v>4</x:v>
      </x:c>
      <x:c r="M14" t="str">
        <x:v>N4-G2:16</x:v>
      </x:c>
      <x:c r="N14" t="n">
        <x:v>1</x:v>
      </x:c>
      <x:c r="O14" t="str">
        <x:v>N4answer.pdf p1</x:v>
      </x:c>
    </x:row>
    <x:row r="15" ht="25" customHeight="1">
      <x:c r="A15" s="2" t="str">
        <x:v>N4-G2</x:v>
      </x:c>
      <x:c r="B15" s="2" t="str">
        <x:v>N4</x:v>
      </x:c>
      <x:c r="C15" s="2" t="str">
        <x:v>Ngữ pháp</x:v>
      </x:c>
      <x:c r="D15" s="2" t="str">
        <x:v>17</x:v>
      </x:c>
      <x:c r="E15" s="44" t="str">
        <x:v>Mở đề</x:v>
      </x:c>
      <x:c r="F15" s="39"/>
      <x:c r="G15" s="39"/>
      <x:c r="H15" s="39"/>
      <x:c r="I15" s="2"/>
      <x:c r="J15" s="40" t="str">
        <x:f>IF(AND(ISBLANK(F15),ISBLANK(G15),ISBLANK(H15)),"",IF(NOT(ISNUMBER(F15)),"Lỗi đáp án",IF(OR(F15&lt;0,F15&gt;K15,MOD(F15,1)&lt;&gt;0),"Lỗi đáp án",IF(AND(LEN(H15)&gt;0,COUNTIF('Nhật ký'!$I$63:$I$69,H15)=0),"Lỗi mã",IF(AND(F15=0,G15="Bỏ trống"),"Đã chấm",IF(AND(F15&gt;0,OR(G15="Đúng",G15="Sai")),"Đã chấm",IF(ISBLANK(G15),"Chưa chấm","Kiểm tra bỏ trống")))))))</x:f>
      </x:c>
      <x:c r="K15" s="40" t="n">
        <x:v>4</x:v>
      </x:c>
      <x:c r="M15" t="str">
        <x:v>N4-G2:17</x:v>
      </x:c>
      <x:c r="N15" t="n">
        <x:v>2</x:v>
      </x:c>
      <x:c r="O15" t="str">
        <x:v>N4answer.pdf p1</x:v>
      </x:c>
    </x:row>
    <x:row r="16" ht="25" customHeight="1">
      <x:c r="A16" s="2" t="str">
        <x:v>N4-G2</x:v>
      </x:c>
      <x:c r="B16" s="2" t="str">
        <x:v>N4</x:v>
      </x:c>
      <x:c r="C16" s="2" t="str">
        <x:v>Ngữ pháp</x:v>
      </x:c>
      <x:c r="D16" s="2" t="str">
        <x:v>21</x:v>
      </x:c>
      <x:c r="E16" s="44" t="str">
        <x:v>Mở đề</x:v>
      </x:c>
      <x:c r="F16" s="39"/>
      <x:c r="G16" s="39"/>
      <x:c r="H16" s="39"/>
      <x:c r="I16" s="2"/>
      <x:c r="J16" s="40" t="str">
        <x:f>IF(AND(ISBLANK(F16),ISBLANK(G16),ISBLANK(H16)),"",IF(NOT(ISNUMBER(F16)),"Lỗi đáp án",IF(OR(F16&lt;0,F16&gt;K16,MOD(F16,1)&lt;&gt;0),"Lỗi đáp án",IF(AND(LEN(H16)&gt;0,COUNTIF('Nhật ký'!$I$63:$I$69,H16)=0),"Lỗi mã",IF(AND(F16=0,G16="Bỏ trống"),"Đã chấm",IF(AND(F16&gt;0,OR(G16="Đúng",G16="Sai")),"Đã chấm",IF(ISBLANK(G16),"Chưa chấm","Kiểm tra bỏ trống")))))))</x:f>
      </x:c>
      <x:c r="K16" s="40" t="n">
        <x:v>4</x:v>
      </x:c>
      <x:c r="M16" t="str">
        <x:v>N4-G2:21</x:v>
      </x:c>
      <x:c r="N16" t="n">
        <x:v>3</x:v>
      </x:c>
      <x:c r="O16" t="str">
        <x:v>N4answer.pdf p1</x:v>
      </x:c>
    </x:row>
    <x:row r="17" ht="25" customHeight="1">
      <x:c r="A17" s="2" t="str">
        <x:v>N4-G2</x:v>
      </x:c>
      <x:c r="B17" s="2" t="str">
        <x:v>N4</x:v>
      </x:c>
      <x:c r="C17" s="2" t="str">
        <x:v>Ngữ pháp</x:v>
      </x:c>
      <x:c r="D17" s="2" t="str">
        <x:v>22</x:v>
      </x:c>
      <x:c r="E17" s="44" t="str">
        <x:v>Mở đề</x:v>
      </x:c>
      <x:c r="F17" s="39"/>
      <x:c r="G17" s="39"/>
      <x:c r="H17" s="39"/>
      <x:c r="I17" s="2"/>
      <x:c r="J17" s="40" t="str">
        <x:f>IF(AND(ISBLANK(F17),ISBLANK(G17),ISBLANK(H17)),"",IF(NOT(ISNUMBER(F17)),"Lỗi đáp án",IF(OR(F17&lt;0,F17&gt;K17,MOD(F17,1)&lt;&gt;0),"Lỗi đáp án",IF(AND(LEN(H17)&gt;0,COUNTIF('Nhật ký'!$I$63:$I$69,H17)=0),"Lỗi mã",IF(AND(F17=0,G17="Bỏ trống"),"Đã chấm",IF(AND(F17&gt;0,OR(G17="Đúng",G17="Sai")),"Đã chấm",IF(ISBLANK(G17),"Chưa chấm","Kiểm tra bỏ trống")))))))</x:f>
      </x:c>
      <x:c r="K17" s="40" t="n">
        <x:v>4</x:v>
      </x:c>
      <x:c r="M17" t="str">
        <x:v>N4-G2:22</x:v>
      </x:c>
      <x:c r="N17" t="n">
        <x:v>1</x:v>
      </x:c>
      <x:c r="O17" t="str">
        <x:v>N4answer.pdf p1</x:v>
      </x:c>
    </x:row>
    <x:row r="18" ht="25" customHeight="1">
      <x:c r="A18" s="2" t="str">
        <x:v>N4-G2</x:v>
      </x:c>
      <x:c r="B18" s="2" t="str">
        <x:v>N4</x:v>
      </x:c>
      <x:c r="C18" s="2" t="str">
        <x:v>Ngữ pháp</x:v>
      </x:c>
      <x:c r="D18" s="2" t="str">
        <x:v>23</x:v>
      </x:c>
      <x:c r="E18" s="44" t="str">
        <x:v>Mở đề</x:v>
      </x:c>
      <x:c r="F18" s="39"/>
      <x:c r="G18" s="39"/>
      <x:c r="H18" s="39"/>
      <x:c r="I18" s="2"/>
      <x:c r="J18" s="40" t="str">
        <x:f>IF(AND(ISBLANK(F18),ISBLANK(G18),ISBLANK(H18)),"",IF(NOT(ISNUMBER(F18)),"Lỗi đáp án",IF(OR(F18&lt;0,F18&gt;K18,MOD(F18,1)&lt;&gt;0),"Lỗi đáp án",IF(AND(LEN(H18)&gt;0,COUNTIF('Nhật ký'!$I$63:$I$69,H18)=0),"Lỗi mã",IF(AND(F18=0,G18="Bỏ trống"),"Đã chấm",IF(AND(F18&gt;0,OR(G18="Đúng",G18="Sai")),"Đã chấm",IF(ISBLANK(G18),"Chưa chấm","Kiểm tra bỏ trống")))))))</x:f>
      </x:c>
      <x:c r="K18" s="40" t="n">
        <x:v>4</x:v>
      </x:c>
      <x:c r="M18" t="str">
        <x:v>N4-G2:23</x:v>
      </x:c>
      <x:c r="N18" t="n">
        <x:v>4</x:v>
      </x:c>
      <x:c r="O18" t="str">
        <x:v>N4answer.pdf p1</x:v>
      </x:c>
    </x:row>
    <x:row r="19" ht="25" customHeight="1">
      <x:c r="A19" s="2" t="str">
        <x:v>N4-G2</x:v>
      </x:c>
      <x:c r="B19" s="2" t="str">
        <x:v>N4</x:v>
      </x:c>
      <x:c r="C19" s="2" t="str">
        <x:v>Ngữ pháp</x:v>
      </x:c>
      <x:c r="D19" s="2" t="str">
        <x:v>24</x:v>
      </x:c>
      <x:c r="E19" s="44" t="str">
        <x:v>Mở đề</x:v>
      </x:c>
      <x:c r="F19" s="39"/>
      <x:c r="G19" s="39"/>
      <x:c r="H19" s="39"/>
      <x:c r="I19" s="2"/>
      <x:c r="J19" s="40" t="str">
        <x:f>IF(AND(ISBLANK(F19),ISBLANK(G19),ISBLANK(H19)),"",IF(NOT(ISNUMBER(F19)),"Lỗi đáp án",IF(OR(F19&lt;0,F19&gt;K19,MOD(F19,1)&lt;&gt;0),"Lỗi đáp án",IF(AND(LEN(H19)&gt;0,COUNTIF('Nhật ký'!$I$63:$I$69,H19)=0),"Lỗi mã",IF(AND(F19=0,G19="Bỏ trống"),"Đã chấm",IF(AND(F19&gt;0,OR(G19="Đúng",G19="Sai")),"Đã chấm",IF(ISBLANK(G19),"Chưa chấm","Kiểm tra bỏ trống")))))))</x:f>
      </x:c>
      <x:c r="K19" s="40" t="n">
        <x:v>4</x:v>
      </x:c>
      <x:c r="M19" t="str">
        <x:v>N4-G2:24</x:v>
      </x:c>
      <x:c r="N19" t="n">
        <x:v>2</x:v>
      </x:c>
      <x:c r="O19" t="str">
        <x:v>N4answer.pdf p1</x:v>
      </x:c>
    </x:row>
    <x:row r="20" ht="25" customHeight="1">
      <x:c r="A20" s="2" t="str">
        <x:v>N4-G2</x:v>
      </x:c>
      <x:c r="B20" s="2" t="str">
        <x:v>N4</x:v>
      </x:c>
      <x:c r="C20" s="2" t="str">
        <x:v>Ngữ pháp</x:v>
      </x:c>
      <x:c r="D20" s="2" t="str">
        <x:v>25</x:v>
      </x:c>
      <x:c r="E20" s="44" t="str">
        <x:v>Mở đề</x:v>
      </x:c>
      <x:c r="F20" s="39"/>
      <x:c r="G20" s="39"/>
      <x:c r="H20" s="39"/>
      <x:c r="I20" s="44" t="str">
        <x:v>Ghi ngày/phút</x:v>
      </x:c>
      <x:c r="J20" s="40" t="str">
        <x:f>IF(AND(ISBLANK(F20),ISBLANK(G20),ISBLANK(H20)),"",IF(NOT(ISNUMBER(F20)),"Lỗi đáp án",IF(OR(F20&lt;0,F20&gt;K20,MOD(F20,1)&lt;&gt;0),"Lỗi đáp án",IF(AND(LEN(H20)&gt;0,COUNTIF('Nhật ký'!$I$63:$I$69,H20)=0),"Lỗi mã",IF(AND(F20=0,G20="Bỏ trống"),"Đã chấm",IF(AND(F20&gt;0,OR(G20="Đúng",G20="Sai")),"Đã chấm",IF(ISBLANK(G20),"Chưa chấm","Kiểm tra bỏ trống")))))))</x:f>
      </x:c>
      <x:c r="K20" s="40" t="n">
        <x:v>4</x:v>
      </x:c>
      <x:c r="M20" t="str">
        <x:v>N4-G2:25</x:v>
      </x:c>
      <x:c r="N20" t="n">
        <x:v>3</x:v>
      </x:c>
      <x:c r="O20" t="str">
        <x:v>N4answer.pdf p1</x:v>
      </x:c>
    </x:row>
    <x:row r="21" ht="25" customHeight="1">
      <x:c r="A21" s="2" t="str">
        <x:v>N4-V</x:v>
      </x:c>
      <x:c r="B21" s="2" t="str">
        <x:v>N4</x:v>
      </x:c>
      <x:c r="C21" s="2" t="str">
        <x:v>Từ và kanji</x:v>
      </x:c>
      <x:c r="D21" s="2" t="str">
        <x:v>1</x:v>
      </x:c>
      <x:c r="E21" s="44" t="str">
        <x:v>Mở đề</x:v>
      </x:c>
      <x:c r="F21" s="39"/>
      <x:c r="G21" s="39"/>
      <x:c r="H21" s="39"/>
      <x:c r="I21" s="2"/>
      <x:c r="J21" s="40" t="str">
        <x:f>IF(AND(ISBLANK(F21),ISBLANK(G21),ISBLANK(H21)),"",IF(NOT(ISNUMBER(F21)),"Lỗi đáp án",IF(OR(F21&lt;0,F21&gt;K21,MOD(F21,1)&lt;&gt;0),"Lỗi đáp án",IF(AND(LEN(H21)&gt;0,COUNTIF('Nhật ký'!$I$63:$I$69,H21)=0),"Lỗi mã",IF(AND(F21=0,G21="Bỏ trống"),"Đã chấm",IF(AND(F21&gt;0,OR(G21="Đúng",G21="Sai")),"Đã chấm",IF(ISBLANK(G21),"Chưa chấm","Kiểm tra bỏ trống")))))))</x:f>
      </x:c>
      <x:c r="K21" s="40" t="n">
        <x:v>4</x:v>
      </x:c>
      <x:c r="M21" t="str">
        <x:v>N4-V:1</x:v>
      </x:c>
      <x:c r="N21" t="n">
        <x:v>3</x:v>
      </x:c>
      <x:c r="O21" t="str">
        <x:v>N4answer.pdf p1</x:v>
      </x:c>
    </x:row>
    <x:row r="22" ht="25" customHeight="1">
      <x:c r="A22" s="2" t="str">
        <x:v>N4-V</x:v>
      </x:c>
      <x:c r="B22" s="2" t="str">
        <x:v>N4</x:v>
      </x:c>
      <x:c r="C22" s="2" t="str">
        <x:v>Từ và kanji</x:v>
      </x:c>
      <x:c r="D22" s="2" t="str">
        <x:v>2</x:v>
      </x:c>
      <x:c r="E22" s="44" t="str">
        <x:v>Mở đề</x:v>
      </x:c>
      <x:c r="F22" s="39"/>
      <x:c r="G22" s="39"/>
      <x:c r="H22" s="39"/>
      <x:c r="I22" s="2"/>
      <x:c r="J22" s="40" t="str">
        <x:f>IF(AND(ISBLANK(F22),ISBLANK(G22),ISBLANK(H22)),"",IF(NOT(ISNUMBER(F22)),"Lỗi đáp án",IF(OR(F22&lt;0,F22&gt;K22,MOD(F22,1)&lt;&gt;0),"Lỗi đáp án",IF(AND(LEN(H22)&gt;0,COUNTIF('Nhật ký'!$I$63:$I$69,H22)=0),"Lỗi mã",IF(AND(F22=0,G22="Bỏ trống"),"Đã chấm",IF(AND(F22&gt;0,OR(G22="Đúng",G22="Sai")),"Đã chấm",IF(ISBLANK(G22),"Chưa chấm","Kiểm tra bỏ trống")))))))</x:f>
      </x:c>
      <x:c r="K22" s="40" t="n">
        <x:v>4</x:v>
      </x:c>
      <x:c r="M22" t="str">
        <x:v>N4-V:2</x:v>
      </x:c>
      <x:c r="N22" t="n">
        <x:v>4</x:v>
      </x:c>
      <x:c r="O22" t="str">
        <x:v>N4answer.pdf p1</x:v>
      </x:c>
    </x:row>
    <x:row r="23" ht="25" customHeight="1">
      <x:c r="A23" s="2" t="str">
        <x:v>N4-V</x:v>
      </x:c>
      <x:c r="B23" s="2" t="str">
        <x:v>N4</x:v>
      </x:c>
      <x:c r="C23" s="2" t="str">
        <x:v>Từ và kanji</x:v>
      </x:c>
      <x:c r="D23" s="2" t="str">
        <x:v>10</x:v>
      </x:c>
      <x:c r="E23" s="44" t="str">
        <x:v>Mở đề</x:v>
      </x:c>
      <x:c r="F23" s="39"/>
      <x:c r="G23" s="39"/>
      <x:c r="H23" s="39"/>
      <x:c r="I23" s="2"/>
      <x:c r="J23" s="40" t="str">
        <x:f>IF(AND(ISBLANK(F23),ISBLANK(G23),ISBLANK(H23)),"",IF(NOT(ISNUMBER(F23)),"Lỗi đáp án",IF(OR(F23&lt;0,F23&gt;K23,MOD(F23,1)&lt;&gt;0),"Lỗi đáp án",IF(AND(LEN(H23)&gt;0,COUNTIF('Nhật ký'!$I$63:$I$69,H23)=0),"Lỗi mã",IF(AND(F23=0,G23="Bỏ trống"),"Đã chấm",IF(AND(F23&gt;0,OR(G23="Đúng",G23="Sai")),"Đã chấm",IF(ISBLANK(G23),"Chưa chấm","Kiểm tra bỏ trống")))))))</x:f>
      </x:c>
      <x:c r="K23" s="40" t="n">
        <x:v>4</x:v>
      </x:c>
      <x:c r="M23" t="str">
        <x:v>N4-V:10</x:v>
      </x:c>
      <x:c r="N23" t="n">
        <x:v>2</x:v>
      </x:c>
      <x:c r="O23" t="str">
        <x:v>N4answer.pdf p1</x:v>
      </x:c>
    </x:row>
    <x:row r="24" ht="25" customHeight="1">
      <x:c r="A24" s="2" t="str">
        <x:v>N4-V</x:v>
      </x:c>
      <x:c r="B24" s="2" t="str">
        <x:v>N4</x:v>
      </x:c>
      <x:c r="C24" s="2" t="str">
        <x:v>Từ và kanji</x:v>
      </x:c>
      <x:c r="D24" s="2" t="str">
        <x:v>11</x:v>
      </x:c>
      <x:c r="E24" s="44" t="str">
        <x:v>Mở đề</x:v>
      </x:c>
      <x:c r="F24" s="39"/>
      <x:c r="G24" s="39"/>
      <x:c r="H24" s="39"/>
      <x:c r="I24" s="2"/>
      <x:c r="J24" s="40" t="str">
        <x:f>IF(AND(ISBLANK(F24),ISBLANK(G24),ISBLANK(H24)),"",IF(NOT(ISNUMBER(F24)),"Lỗi đáp án",IF(OR(F24&lt;0,F24&gt;K24,MOD(F24,1)&lt;&gt;0),"Lỗi đáp án",IF(AND(LEN(H24)&gt;0,COUNTIF('Nhật ký'!$I$63:$I$69,H24)=0),"Lỗi mã",IF(AND(F24=0,G24="Bỏ trống"),"Đã chấm",IF(AND(F24&gt;0,OR(G24="Đúng",G24="Sai")),"Đã chấm",IF(ISBLANK(G24),"Chưa chấm","Kiểm tra bỏ trống")))))))</x:f>
      </x:c>
      <x:c r="K24" s="40" t="n">
        <x:v>4</x:v>
      </x:c>
      <x:c r="M24" t="str">
        <x:v>N4-V:11</x:v>
      </x:c>
      <x:c r="N24" t="n">
        <x:v>3</x:v>
      </x:c>
      <x:c r="O24" t="str">
        <x:v>N4answer.pdf p1</x:v>
      </x:c>
    </x:row>
    <x:row r="25" ht="25" customHeight="1">
      <x:c r="A25" s="2" t="str">
        <x:v>N4-V</x:v>
      </x:c>
      <x:c r="B25" s="2" t="str">
        <x:v>N4</x:v>
      </x:c>
      <x:c r="C25" s="2" t="str">
        <x:v>Từ và kanji</x:v>
      </x:c>
      <x:c r="D25" s="2" t="str">
        <x:v>16</x:v>
      </x:c>
      <x:c r="E25" s="44" t="str">
        <x:v>Mở đề</x:v>
      </x:c>
      <x:c r="F25" s="39"/>
      <x:c r="G25" s="39"/>
      <x:c r="H25" s="39"/>
      <x:c r="I25" s="2"/>
      <x:c r="J25" s="40" t="str">
        <x:f>IF(AND(ISBLANK(F25),ISBLANK(G25),ISBLANK(H25)),"",IF(NOT(ISNUMBER(F25)),"Lỗi đáp án",IF(OR(F25&lt;0,F25&gt;K25,MOD(F25,1)&lt;&gt;0),"Lỗi đáp án",IF(AND(LEN(H25)&gt;0,COUNTIF('Nhật ký'!$I$63:$I$69,H25)=0),"Lỗi mã",IF(AND(F25=0,G25="Bỏ trống"),"Đã chấm",IF(AND(F25&gt;0,OR(G25="Đúng",G25="Sai")),"Đã chấm",IF(ISBLANK(G25),"Chưa chấm","Kiểm tra bỏ trống")))))))</x:f>
      </x:c>
      <x:c r="K25" s="40" t="n">
        <x:v>4</x:v>
      </x:c>
      <x:c r="M25" t="str">
        <x:v>N4-V:16</x:v>
      </x:c>
      <x:c r="N25" t="n">
        <x:v>1</x:v>
      </x:c>
      <x:c r="O25" t="str">
        <x:v>N4answer.pdf p1</x:v>
      </x:c>
    </x:row>
    <x:row r="26" ht="25" customHeight="1">
      <x:c r="A26" s="2" t="str">
        <x:v>N4-V</x:v>
      </x:c>
      <x:c r="B26" s="2" t="str">
        <x:v>N4</x:v>
      </x:c>
      <x:c r="C26" s="2" t="str">
        <x:v>Từ và kanji</x:v>
      </x:c>
      <x:c r="D26" s="2" t="str">
        <x:v>17</x:v>
      </x:c>
      <x:c r="E26" s="44" t="str">
        <x:v>Mở đề</x:v>
      </x:c>
      <x:c r="F26" s="39"/>
      <x:c r="G26" s="39"/>
      <x:c r="H26" s="39"/>
      <x:c r="I26" s="2"/>
      <x:c r="J26" s="40" t="str">
        <x:f>IF(AND(ISBLANK(F26),ISBLANK(G26),ISBLANK(H26)),"",IF(NOT(ISNUMBER(F26)),"Lỗi đáp án",IF(OR(F26&lt;0,F26&gt;K26,MOD(F26,1)&lt;&gt;0),"Lỗi đáp án",IF(AND(LEN(H26)&gt;0,COUNTIF('Nhật ký'!$I$63:$I$69,H26)=0),"Lỗi mã",IF(AND(F26=0,G26="Bỏ trống"),"Đã chấm",IF(AND(F26&gt;0,OR(G26="Đúng",G26="Sai")),"Đã chấm",IF(ISBLANK(G26),"Chưa chấm","Kiểm tra bỏ trống")))))))</x:f>
      </x:c>
      <x:c r="K26" s="40" t="n">
        <x:v>4</x:v>
      </x:c>
      <x:c r="M26" t="str">
        <x:v>N4-V:17</x:v>
      </x:c>
      <x:c r="N26" t="n">
        <x:v>2</x:v>
      </x:c>
      <x:c r="O26" t="str">
        <x:v>N4answer.pdf p1</x:v>
      </x:c>
    </x:row>
    <x:row r="27" ht="25" customHeight="1">
      <x:c r="A27" s="2" t="str">
        <x:v>N4-V</x:v>
      </x:c>
      <x:c r="B27" s="2" t="str">
        <x:v>N4</x:v>
      </x:c>
      <x:c r="C27" s="2" t="str">
        <x:v>Từ và kanji</x:v>
      </x:c>
      <x:c r="D27" s="2" t="str">
        <x:v>26</x:v>
      </x:c>
      <x:c r="E27" s="44" t="str">
        <x:v>Mở đề</x:v>
      </x:c>
      <x:c r="F27" s="39"/>
      <x:c r="G27" s="39"/>
      <x:c r="H27" s="39"/>
      <x:c r="I27" s="2"/>
      <x:c r="J27" s="40" t="str">
        <x:f>IF(AND(ISBLANK(F27),ISBLANK(G27),ISBLANK(H27)),"",IF(NOT(ISNUMBER(F27)),"Lỗi đáp án",IF(OR(F27&lt;0,F27&gt;K27,MOD(F27,1)&lt;&gt;0),"Lỗi đáp án",IF(AND(LEN(H27)&gt;0,COUNTIF('Nhật ký'!$I$63:$I$69,H27)=0),"Lỗi mã",IF(AND(F27=0,G27="Bỏ trống"),"Đã chấm",IF(AND(F27&gt;0,OR(G27="Đúng",G27="Sai")),"Đã chấm",IF(ISBLANK(G27),"Chưa chấm","Kiểm tra bỏ trống")))))))</x:f>
      </x:c>
      <x:c r="K27" s="40" t="n">
        <x:v>4</x:v>
      </x:c>
      <x:c r="M27" t="str">
        <x:v>N4-V:26</x:v>
      </x:c>
      <x:c r="N27" t="n">
        <x:v>2</x:v>
      </x:c>
      <x:c r="O27" t="str">
        <x:v>N4answer.pdf p1</x:v>
      </x:c>
    </x:row>
    <x:row r="28" ht="25" customHeight="1">
      <x:c r="A28" s="2" t="str">
        <x:v>N4-V</x:v>
      </x:c>
      <x:c r="B28" s="2" t="str">
        <x:v>N4</x:v>
      </x:c>
      <x:c r="C28" s="2" t="str">
        <x:v>Từ và kanji</x:v>
      </x:c>
      <x:c r="D28" s="2" t="str">
        <x:v>27</x:v>
      </x:c>
      <x:c r="E28" s="44" t="str">
        <x:v>Mở đề</x:v>
      </x:c>
      <x:c r="F28" s="39"/>
      <x:c r="G28" s="39"/>
      <x:c r="H28" s="39"/>
      <x:c r="I28" s="2"/>
      <x:c r="J28" s="40" t="str">
        <x:f>IF(AND(ISBLANK(F28),ISBLANK(G28),ISBLANK(H28)),"",IF(NOT(ISNUMBER(F28)),"Lỗi đáp án",IF(OR(F28&lt;0,F28&gt;K28,MOD(F28,1)&lt;&gt;0),"Lỗi đáp án",IF(AND(LEN(H28)&gt;0,COUNTIF('Nhật ký'!$I$63:$I$69,H28)=0),"Lỗi mã",IF(AND(F28=0,G28="Bỏ trống"),"Đã chấm",IF(AND(F28&gt;0,OR(G28="Đúng",G28="Sai")),"Đã chấm",IF(ISBLANK(G28),"Chưa chấm","Kiểm tra bỏ trống")))))))</x:f>
      </x:c>
      <x:c r="K28" s="40" t="n">
        <x:v>4</x:v>
      </x:c>
      <x:c r="M28" t="str">
        <x:v>N4-V:27</x:v>
      </x:c>
      <x:c r="N28" t="n">
        <x:v>2</x:v>
      </x:c>
      <x:c r="O28" t="str">
        <x:v>N4answer.pdf p1</x:v>
      </x:c>
    </x:row>
    <x:row r="29" ht="25" customHeight="1">
      <x:c r="A29" s="2" t="str">
        <x:v>N4-V</x:v>
      </x:c>
      <x:c r="B29" s="2" t="str">
        <x:v>N4</x:v>
      </x:c>
      <x:c r="C29" s="2" t="str">
        <x:v>Từ và kanji</x:v>
      </x:c>
      <x:c r="D29" s="2" t="str">
        <x:v>31</x:v>
      </x:c>
      <x:c r="E29" s="44" t="str">
        <x:v>Mở đề</x:v>
      </x:c>
      <x:c r="F29" s="39"/>
      <x:c r="G29" s="39"/>
      <x:c r="H29" s="39"/>
      <x:c r="I29" s="2"/>
      <x:c r="J29" s="40" t="str">
        <x:f>IF(AND(ISBLANK(F29),ISBLANK(G29),ISBLANK(H29)),"",IF(NOT(ISNUMBER(F29)),"Lỗi đáp án",IF(OR(F29&lt;0,F29&gt;K29,MOD(F29,1)&lt;&gt;0),"Lỗi đáp án",IF(AND(LEN(H29)&gt;0,COUNTIF('Nhật ký'!$I$63:$I$69,H29)=0),"Lỗi mã",IF(AND(F29=0,G29="Bỏ trống"),"Đã chấm",IF(AND(F29&gt;0,OR(G29="Đúng",G29="Sai")),"Đã chấm",IF(ISBLANK(G29),"Chưa chấm","Kiểm tra bỏ trống")))))))</x:f>
      </x:c>
      <x:c r="K29" s="40" t="n">
        <x:v>4</x:v>
      </x:c>
      <x:c r="M29" t="str">
        <x:v>N4-V:31</x:v>
      </x:c>
      <x:c r="N29" t="n">
        <x:v>3</x:v>
      </x:c>
      <x:c r="O29" t="str">
        <x:v>N4answer.pdf p1</x:v>
      </x:c>
    </x:row>
    <x:row r="30" ht="25" customHeight="1">
      <x:c r="A30" s="2" t="str">
        <x:v>N4-V</x:v>
      </x:c>
      <x:c r="B30" s="2" t="str">
        <x:v>N4</x:v>
      </x:c>
      <x:c r="C30" s="2" t="str">
        <x:v>Từ và kanji</x:v>
      </x:c>
      <x:c r="D30" s="2" t="str">
        <x:v>32</x:v>
      </x:c>
      <x:c r="E30" s="44" t="str">
        <x:v>Mở đề</x:v>
      </x:c>
      <x:c r="F30" s="39"/>
      <x:c r="G30" s="39"/>
      <x:c r="H30" s="39"/>
      <x:c r="I30" s="44" t="str">
        <x:v>Ghi ngày/phút</x:v>
      </x:c>
      <x:c r="J30" s="40" t="str">
        <x:f>IF(AND(ISBLANK(F30),ISBLANK(G30),ISBLANK(H30)),"",IF(NOT(ISNUMBER(F30)),"Lỗi đáp án",IF(OR(F30&lt;0,F30&gt;K30,MOD(F30,1)&lt;&gt;0),"Lỗi đáp án",IF(AND(LEN(H30)&gt;0,COUNTIF('Nhật ký'!$I$63:$I$69,H30)=0),"Lỗi mã",IF(AND(F30=0,G30="Bỏ trống"),"Đã chấm",IF(AND(F30&gt;0,OR(G30="Đúng",G30="Sai")),"Đã chấm",IF(ISBLANK(G30),"Chưa chấm","Kiểm tra bỏ trống")))))))</x:f>
      </x:c>
      <x:c r="K30" s="40" t="n">
        <x:v>4</x:v>
      </x:c>
      <x:c r="M30" t="str">
        <x:v>N4-V:32</x:v>
      </x:c>
      <x:c r="N30" t="n">
        <x:v>1</x:v>
      </x:c>
      <x:c r="O30" t="str">
        <x:v>N4answer.pdf p1</x:v>
      </x:c>
    </x:row>
    <x:row r="31" ht="25" customHeight="1">
      <x:c r="A31" s="2" t="str">
        <x:v>N4-R</x:v>
      </x:c>
      <x:c r="B31" s="2" t="str">
        <x:v>N4</x:v>
      </x:c>
      <x:c r="C31" s="2" t="str">
        <x:v>Đọc</x:v>
      </x:c>
      <x:c r="D31" s="2" t="str">
        <x:v>26</x:v>
      </x:c>
      <x:c r="E31" s="44" t="str">
        <x:v>Mở đề</x:v>
      </x:c>
      <x:c r="F31" s="39"/>
      <x:c r="G31" s="39"/>
      <x:c r="H31" s="39"/>
      <x:c r="I31" s="2"/>
      <x:c r="J31" s="40" t="str">
        <x:f>IF(AND(ISBLANK(F31),ISBLANK(G31),ISBLANK(H31)),"",IF(NOT(ISNUMBER(F31)),"Lỗi đáp án",IF(OR(F31&lt;0,F31&gt;K31,MOD(F31,1)&lt;&gt;0),"Lỗi đáp án",IF(AND(LEN(H31)&gt;0,COUNTIF('Nhật ký'!$I$63:$I$69,H31)=0),"Lỗi mã",IF(AND(F31=0,G31="Bỏ trống"),"Đã chấm",IF(AND(F31&gt;0,OR(G31="Đúng",G31="Sai")),"Đã chấm",IF(ISBLANK(G31),"Chưa chấm","Kiểm tra bỏ trống")))))))</x:f>
      </x:c>
      <x:c r="K31" s="40" t="n">
        <x:v>4</x:v>
      </x:c>
      <x:c r="M31" t="str">
        <x:v>N4-R:26</x:v>
      </x:c>
      <x:c r="N31" t="n">
        <x:v>4</x:v>
      </x:c>
      <x:c r="O31" t="str">
        <x:v>N4answer.pdf p2</x:v>
      </x:c>
    </x:row>
    <x:row r="32" ht="25" customHeight="1">
      <x:c r="A32" s="2" t="str">
        <x:v>N4-R</x:v>
      </x:c>
      <x:c r="B32" s="2" t="str">
        <x:v>N4</x:v>
      </x:c>
      <x:c r="C32" s="2" t="str">
        <x:v>Đọc</x:v>
      </x:c>
      <x:c r="D32" s="2" t="str">
        <x:v>30</x:v>
      </x:c>
      <x:c r="E32" s="44" t="str">
        <x:v>Mở đề</x:v>
      </x:c>
      <x:c r="F32" s="39"/>
      <x:c r="G32" s="39"/>
      <x:c r="H32" s="39"/>
      <x:c r="I32" s="2"/>
      <x:c r="J32" s="40" t="str">
        <x:f>IF(AND(ISBLANK(F32),ISBLANK(G32),ISBLANK(H32)),"",IF(NOT(ISNUMBER(F32)),"Lỗi đáp án",IF(OR(F32&lt;0,F32&gt;K32,MOD(F32,1)&lt;&gt;0),"Lỗi đáp án",IF(AND(LEN(H32)&gt;0,COUNTIF('Nhật ký'!$I$63:$I$69,H32)=0),"Lỗi mã",IF(AND(F32=0,G32="Bỏ trống"),"Đã chấm",IF(AND(F32&gt;0,OR(G32="Đúng",G32="Sai")),"Đã chấm",IF(ISBLANK(G32),"Chưa chấm","Kiểm tra bỏ trống")))))))</x:f>
      </x:c>
      <x:c r="K32" s="40" t="n">
        <x:v>4</x:v>
      </x:c>
      <x:c r="M32" t="str">
        <x:v>N4-R:30</x:v>
      </x:c>
      <x:c r="N32" t="n">
        <x:v>3</x:v>
      </x:c>
      <x:c r="O32" t="str">
        <x:v>N4answer.pdf p2</x:v>
      </x:c>
    </x:row>
    <x:row r="33" ht="25" customHeight="1">
      <x:c r="A33" s="2" t="str">
        <x:v>N4-R</x:v>
      </x:c>
      <x:c r="B33" s="2" t="str">
        <x:v>N4</x:v>
      </x:c>
      <x:c r="C33" s="2" t="str">
        <x:v>Đọc</x:v>
      </x:c>
      <x:c r="D33" s="2" t="str">
        <x:v>31</x:v>
      </x:c>
      <x:c r="E33" s="44" t="str">
        <x:v>Mở đề</x:v>
      </x:c>
      <x:c r="F33" s="39"/>
      <x:c r="G33" s="39"/>
      <x:c r="H33" s="39"/>
      <x:c r="I33" s="2"/>
      <x:c r="J33" s="40" t="str">
        <x:f>IF(AND(ISBLANK(F33),ISBLANK(G33),ISBLANK(H33)),"",IF(NOT(ISNUMBER(F33)),"Lỗi đáp án",IF(OR(F33&lt;0,F33&gt;K33,MOD(F33,1)&lt;&gt;0),"Lỗi đáp án",IF(AND(LEN(H33)&gt;0,COUNTIF('Nhật ký'!$I$63:$I$69,H33)=0),"Lỗi mã",IF(AND(F33=0,G33="Bỏ trống"),"Đã chấm",IF(AND(F33&gt;0,OR(G33="Đúng",G33="Sai")),"Đã chấm",IF(ISBLANK(G33),"Chưa chấm","Kiểm tra bỏ trống")))))))</x:f>
      </x:c>
      <x:c r="K33" s="40" t="n">
        <x:v>4</x:v>
      </x:c>
      <x:c r="M33" t="str">
        <x:v>N4-R:31</x:v>
      </x:c>
      <x:c r="N33" t="n">
        <x:v>1</x:v>
      </x:c>
      <x:c r="O33" t="str">
        <x:v>N4answer.pdf p2</x:v>
      </x:c>
    </x:row>
    <x:row r="34" ht="25" customHeight="1">
      <x:c r="A34" s="2" t="str">
        <x:v>N4-R</x:v>
      </x:c>
      <x:c r="B34" s="2" t="str">
        <x:v>N4</x:v>
      </x:c>
      <x:c r="C34" s="2" t="str">
        <x:v>Đọc</x:v>
      </x:c>
      <x:c r="D34" s="2" t="str">
        <x:v>32</x:v>
      </x:c>
      <x:c r="E34" s="44" t="str">
        <x:v>Mở đề</x:v>
      </x:c>
      <x:c r="F34" s="39"/>
      <x:c r="G34" s="39"/>
      <x:c r="H34" s="39"/>
      <x:c r="I34" s="2"/>
      <x:c r="J34" s="40" t="str">
        <x:f>IF(AND(ISBLANK(F34),ISBLANK(G34),ISBLANK(H34)),"",IF(NOT(ISNUMBER(F34)),"Lỗi đáp án",IF(OR(F34&lt;0,F34&gt;K34,MOD(F34,1)&lt;&gt;0),"Lỗi đáp án",IF(AND(LEN(H34)&gt;0,COUNTIF('Nhật ký'!$I$63:$I$69,H34)=0),"Lỗi mã",IF(AND(F34=0,G34="Bỏ trống"),"Đã chấm",IF(AND(F34&gt;0,OR(G34="Đúng",G34="Sai")),"Đã chấm",IF(ISBLANK(G34),"Chưa chấm","Kiểm tra bỏ trống")))))))</x:f>
      </x:c>
      <x:c r="K34" s="40" t="n">
        <x:v>4</x:v>
      </x:c>
      <x:c r="M34" t="str">
        <x:v>N4-R:32</x:v>
      </x:c>
      <x:c r="N34" t="n">
        <x:v>2</x:v>
      </x:c>
      <x:c r="O34" t="str">
        <x:v>N4answer.pdf p2</x:v>
      </x:c>
    </x:row>
    <x:row r="35" ht="25" customHeight="1">
      <x:c r="A35" s="2" t="str">
        <x:v>N4-R</x:v>
      </x:c>
      <x:c r="B35" s="2" t="str">
        <x:v>N4</x:v>
      </x:c>
      <x:c r="C35" s="2" t="str">
        <x:v>Đọc</x:v>
      </x:c>
      <x:c r="D35" s="2" t="str">
        <x:v>33</x:v>
      </x:c>
      <x:c r="E35" s="44" t="str">
        <x:v>Mở đề</x:v>
      </x:c>
      <x:c r="F35" s="39"/>
      <x:c r="G35" s="39"/>
      <x:c r="H35" s="39"/>
      <x:c r="I35" s="44" t="str">
        <x:v>Ghi ngày/phút</x:v>
      </x:c>
      <x:c r="J35" s="40" t="str">
        <x:f>IF(AND(ISBLANK(F35),ISBLANK(G35),ISBLANK(H35)),"",IF(NOT(ISNUMBER(F35)),"Lỗi đáp án",IF(OR(F35&lt;0,F35&gt;K35,MOD(F35,1)&lt;&gt;0),"Lỗi đáp án",IF(AND(LEN(H35)&gt;0,COUNTIF('Nhật ký'!$I$63:$I$69,H35)=0),"Lỗi mã",IF(AND(F35=0,G35="Bỏ trống"),"Đã chấm",IF(AND(F35&gt;0,OR(G35="Đúng",G35="Sai")),"Đã chấm",IF(ISBLANK(G35),"Chưa chấm","Kiểm tra bỏ trống")))))))</x:f>
      </x:c>
      <x:c r="K35" s="40" t="n">
        <x:v>4</x:v>
      </x:c>
      <x:c r="M35" t="str">
        <x:v>N4-R:33</x:v>
      </x:c>
      <x:c r="N35" t="n">
        <x:v>3</x:v>
      </x:c>
      <x:c r="O35" t="str">
        <x:v>N4answer.pdf p2</x:v>
      </x:c>
    </x:row>
    <x:row r="36" ht="25" customHeight="1">
      <x:c r="A36" s="2" t="str">
        <x:v>N4-L1</x:v>
      </x:c>
      <x:c r="B36" s="2" t="str">
        <x:v>N4</x:v>
      </x:c>
      <x:c r="C36" s="2" t="str">
        <x:v>Nghe</x:v>
      </x:c>
      <x:c r="D36" s="2" t="str">
        <x:v>M1-1</x:v>
      </x:c>
      <x:c r="E36" s="44" t="str">
        <x:v>Mở đề</x:v>
      </x:c>
      <x:c r="F36" s="39"/>
      <x:c r="G36" s="39"/>
      <x:c r="H36" s="39"/>
      <x:c r="I36" s="2"/>
      <x:c r="J36" s="40" t="str">
        <x:f>IF(AND(ISBLANK(F36),ISBLANK(G36),ISBLANK(H36)),"",IF(NOT(ISNUMBER(F36)),"Lỗi đáp án",IF(OR(F36&lt;0,F36&gt;K36,MOD(F36,1)&lt;&gt;0),"Lỗi đáp án",IF(AND(LEN(H36)&gt;0,COUNTIF('Nhật ký'!$I$63:$I$69,H36)=0),"Lỗi mã",IF(AND(F36=0,G36="Bỏ trống"),"Đã chấm",IF(AND(F36&gt;0,OR(G36="Đúng",G36="Sai")),"Đã chấm",IF(ISBLANK(G36),"Chưa chấm","Kiểm tra bỏ trống")))))))</x:f>
      </x:c>
      <x:c r="K36" s="40" t="n">
        <x:v>4</x:v>
      </x:c>
      <x:c r="M36" t="str">
        <x:v>N4-L1:M1-1</x:v>
      </x:c>
      <x:c r="N36" t="n">
        <x:v>1</x:v>
      </x:c>
      <x:c r="O36" t="str">
        <x:v>N4answer.pdf p2</x:v>
      </x:c>
    </x:row>
    <x:row r="37" ht="25" customHeight="1">
      <x:c r="A37" s="2" t="str">
        <x:v>N4-L1</x:v>
      </x:c>
      <x:c r="B37" s="2" t="str">
        <x:v>N4</x:v>
      </x:c>
      <x:c r="C37" s="2" t="str">
        <x:v>Nghe</x:v>
      </x:c>
      <x:c r="D37" s="2" t="str">
        <x:v>M1-2</x:v>
      </x:c>
      <x:c r="E37" s="44" t="str">
        <x:v>Mở đề</x:v>
      </x:c>
      <x:c r="F37" s="39"/>
      <x:c r="G37" s="39"/>
      <x:c r="H37" s="39"/>
      <x:c r="I37" s="2"/>
      <x:c r="J37" s="40" t="str">
        <x:f>IF(AND(ISBLANK(F37),ISBLANK(G37),ISBLANK(H37)),"",IF(NOT(ISNUMBER(F37)),"Lỗi đáp án",IF(OR(F37&lt;0,F37&gt;K37,MOD(F37,1)&lt;&gt;0),"Lỗi đáp án",IF(AND(LEN(H37)&gt;0,COUNTIF('Nhật ký'!$I$63:$I$69,H37)=0),"Lỗi mã",IF(AND(F37=0,G37="Bỏ trống"),"Đã chấm",IF(AND(F37&gt;0,OR(G37="Đúng",G37="Sai")),"Đã chấm",IF(ISBLANK(G37),"Chưa chấm","Kiểm tra bỏ trống")))))))</x:f>
      </x:c>
      <x:c r="K37" s="40" t="n">
        <x:v>4</x:v>
      </x:c>
      <x:c r="M37" t="str">
        <x:v>N4-L1:M1-2</x:v>
      </x:c>
      <x:c r="N37" t="n">
        <x:v>3</x:v>
      </x:c>
      <x:c r="O37" t="str">
        <x:v>N4answer.pdf p2</x:v>
      </x:c>
    </x:row>
    <x:row r="38" ht="25" customHeight="1">
      <x:c r="A38" s="2" t="str">
        <x:v>N4-L1</x:v>
      </x:c>
      <x:c r="B38" s="2" t="str">
        <x:v>N4</x:v>
      </x:c>
      <x:c r="C38" s="2" t="str">
        <x:v>Nghe</x:v>
      </x:c>
      <x:c r="D38" s="2" t="str">
        <x:v>M2-1</x:v>
      </x:c>
      <x:c r="E38" s="44" t="str">
        <x:v>Mở đề</x:v>
      </x:c>
      <x:c r="F38" s="39"/>
      <x:c r="G38" s="39"/>
      <x:c r="H38" s="39"/>
      <x:c r="I38" s="2"/>
      <x:c r="J38" s="40" t="str">
        <x:f>IF(AND(ISBLANK(F38),ISBLANK(G38),ISBLANK(H38)),"",IF(NOT(ISNUMBER(F38)),"Lỗi đáp án",IF(OR(F38&lt;0,F38&gt;K38,MOD(F38,1)&lt;&gt;0),"Lỗi đáp án",IF(AND(LEN(H38)&gt;0,COUNTIF('Nhật ký'!$I$63:$I$69,H38)=0),"Lỗi mã",IF(AND(F38=0,G38="Bỏ trống"),"Đã chấm",IF(AND(F38&gt;0,OR(G38="Đúng",G38="Sai")),"Đã chấm",IF(ISBLANK(G38),"Chưa chấm","Kiểm tra bỏ trống")))))))</x:f>
      </x:c>
      <x:c r="K38" s="40" t="n">
        <x:v>4</x:v>
      </x:c>
      <x:c r="M38" t="str">
        <x:v>N4-L1:M2-1</x:v>
      </x:c>
      <x:c r="N38" t="n">
        <x:v>1</x:v>
      </x:c>
      <x:c r="O38" t="str">
        <x:v>N4answer.pdf p2</x:v>
      </x:c>
    </x:row>
    <x:row r="39" ht="25" customHeight="1">
      <x:c r="A39" s="2" t="str">
        <x:v>N4-L1</x:v>
      </x:c>
      <x:c r="B39" s="2" t="str">
        <x:v>N4</x:v>
      </x:c>
      <x:c r="C39" s="2" t="str">
        <x:v>Nghe</x:v>
      </x:c>
      <x:c r="D39" s="2" t="str">
        <x:v>M2-2</x:v>
      </x:c>
      <x:c r="E39" s="44" t="str">
        <x:v>Mở đề</x:v>
      </x:c>
      <x:c r="F39" s="39"/>
      <x:c r="G39" s="39"/>
      <x:c r="H39" s="39"/>
      <x:c r="I39" s="44" t="str">
        <x:v>Ghi ngày/phút</x:v>
      </x:c>
      <x:c r="J39" s="40" t="str">
        <x:f>IF(AND(ISBLANK(F39),ISBLANK(G39),ISBLANK(H39)),"",IF(NOT(ISNUMBER(F39)),"Lỗi đáp án",IF(OR(F39&lt;0,F39&gt;K39,MOD(F39,1)&lt;&gt;0),"Lỗi đáp án",IF(AND(LEN(H39)&gt;0,COUNTIF('Nhật ký'!$I$63:$I$69,H39)=0),"Lỗi mã",IF(AND(F39=0,G39="Bỏ trống"),"Đã chấm",IF(AND(F39&gt;0,OR(G39="Đúng",G39="Sai")),"Đã chấm",IF(ISBLANK(G39),"Chưa chấm","Kiểm tra bỏ trống")))))))</x:f>
      </x:c>
      <x:c r="K39" s="40" t="n">
        <x:v>4</x:v>
      </x:c>
      <x:c r="M39" t="str">
        <x:v>N4-L1:M2-2</x:v>
      </x:c>
      <x:c r="N39" t="n">
        <x:v>2</x:v>
      </x:c>
      <x:c r="O39" t="str">
        <x:v>N4answer.pdf p2</x:v>
      </x:c>
    </x:row>
    <x:row r="40" ht="25" customHeight="1">
      <x:c r="A40" s="2" t="str">
        <x:v>N4-L2</x:v>
      </x:c>
      <x:c r="B40" s="2" t="str">
        <x:v>N4</x:v>
      </x:c>
      <x:c r="C40" s="2" t="str">
        <x:v>Nghe</x:v>
      </x:c>
      <x:c r="D40" s="2" t="str">
        <x:v>M3-1</x:v>
      </x:c>
      <x:c r="E40" s="44" t="str">
        <x:v>Mở đề</x:v>
      </x:c>
      <x:c r="F40" s="39"/>
      <x:c r="G40" s="39"/>
      <x:c r="H40" s="39"/>
      <x:c r="I40" s="2"/>
      <x:c r="J40" s="40" t="str">
        <x:f>IF(AND(ISBLANK(F40),ISBLANK(G40),ISBLANK(H40)),"",IF(NOT(ISNUMBER(F40)),"Lỗi đáp án",IF(OR(F40&lt;0,F40&gt;K40,MOD(F40,1)&lt;&gt;0),"Lỗi đáp án",IF(AND(LEN(H40)&gt;0,COUNTIF('Nhật ký'!$I$63:$I$69,H40)=0),"Lỗi mã",IF(AND(F40=0,G40="Bỏ trống"),"Đã chấm",IF(AND(F40&gt;0,OR(G40="Đúng",G40="Sai")),"Đã chấm",IF(ISBLANK(G40),"Chưa chấm","Kiểm tra bỏ trống")))))))</x:f>
      </x:c>
      <x:c r="K40" s="40" t="n">
        <x:v>3</x:v>
      </x:c>
      <x:c r="M40" t="str">
        <x:v>N4-L2:M3-1</x:v>
      </x:c>
      <x:c r="N40" t="n">
        <x:v>2</x:v>
      </x:c>
      <x:c r="O40" t="str">
        <x:v>N4answer.pdf p2</x:v>
      </x:c>
    </x:row>
    <x:row r="41" ht="25" customHeight="1">
      <x:c r="A41" s="2" t="str">
        <x:v>N4-L2</x:v>
      </x:c>
      <x:c r="B41" s="2" t="str">
        <x:v>N4</x:v>
      </x:c>
      <x:c r="C41" s="2" t="str">
        <x:v>Nghe</x:v>
      </x:c>
      <x:c r="D41" s="2" t="str">
        <x:v>M3-2</x:v>
      </x:c>
      <x:c r="E41" s="44" t="str">
        <x:v>Mở đề</x:v>
      </x:c>
      <x:c r="F41" s="39"/>
      <x:c r="G41" s="39"/>
      <x:c r="H41" s="39"/>
      <x:c r="I41" s="2"/>
      <x:c r="J41" s="40" t="str">
        <x:f>IF(AND(ISBLANK(F41),ISBLANK(G41),ISBLANK(H41)),"",IF(NOT(ISNUMBER(F41)),"Lỗi đáp án",IF(OR(F41&lt;0,F41&gt;K41,MOD(F41,1)&lt;&gt;0),"Lỗi đáp án",IF(AND(LEN(H41)&gt;0,COUNTIF('Nhật ký'!$I$63:$I$69,H41)=0),"Lỗi mã",IF(AND(F41=0,G41="Bỏ trống"),"Đã chấm",IF(AND(F41&gt;0,OR(G41="Đúng",G41="Sai")),"Đã chấm",IF(ISBLANK(G41),"Chưa chấm","Kiểm tra bỏ trống")))))))</x:f>
      </x:c>
      <x:c r="K41" s="40" t="n">
        <x:v>3</x:v>
      </x:c>
      <x:c r="M41" t="str">
        <x:v>N4-L2:M3-2</x:v>
      </x:c>
      <x:c r="N41" t="n">
        <x:v>2</x:v>
      </x:c>
      <x:c r="O41" t="str">
        <x:v>N4answer.pdf p2</x:v>
      </x:c>
    </x:row>
    <x:row r="42" ht="25" customHeight="1">
      <x:c r="A42" s="2" t="str">
        <x:v>N4-L2</x:v>
      </x:c>
      <x:c r="B42" s="2" t="str">
        <x:v>N4</x:v>
      </x:c>
      <x:c r="C42" s="2" t="str">
        <x:v>Nghe</x:v>
      </x:c>
      <x:c r="D42" s="2" t="str">
        <x:v>M4-1</x:v>
      </x:c>
      <x:c r="E42" s="44" t="str">
        <x:v>Mở đề</x:v>
      </x:c>
      <x:c r="F42" s="39"/>
      <x:c r="G42" s="39"/>
      <x:c r="H42" s="39"/>
      <x:c r="I42" s="2"/>
      <x:c r="J42" s="40" t="str">
        <x:f>IF(AND(ISBLANK(F42),ISBLANK(G42),ISBLANK(H42)),"",IF(NOT(ISNUMBER(F42)),"Lỗi đáp án",IF(OR(F42&lt;0,F42&gt;K42,MOD(F42,1)&lt;&gt;0),"Lỗi đáp án",IF(AND(LEN(H42)&gt;0,COUNTIF('Nhật ký'!$I$63:$I$69,H42)=0),"Lỗi mã",IF(AND(F42=0,G42="Bỏ trống"),"Đã chấm",IF(AND(F42&gt;0,OR(G42="Đúng",G42="Sai")),"Đã chấm",IF(ISBLANK(G42),"Chưa chấm","Kiểm tra bỏ trống")))))))</x:f>
      </x:c>
      <x:c r="K42" s="40" t="n">
        <x:v>3</x:v>
      </x:c>
      <x:c r="M42" t="str">
        <x:v>N4-L2:M4-1</x:v>
      </x:c>
      <x:c r="N42" t="n">
        <x:v>1</x:v>
      </x:c>
      <x:c r="O42" t="str">
        <x:v>N4answer.pdf p2</x:v>
      </x:c>
    </x:row>
    <x:row r="43" ht="25" customHeight="1">
      <x:c r="A43" s="2" t="str">
        <x:v>N4-L2</x:v>
      </x:c>
      <x:c r="B43" s="2" t="str">
        <x:v>N4</x:v>
      </x:c>
      <x:c r="C43" s="2" t="str">
        <x:v>Nghe</x:v>
      </x:c>
      <x:c r="D43" s="2" t="str">
        <x:v>M4-2</x:v>
      </x:c>
      <x:c r="E43" s="44" t="str">
        <x:v>Mở đề</x:v>
      </x:c>
      <x:c r="F43" s="39"/>
      <x:c r="G43" s="39"/>
      <x:c r="H43" s="39"/>
      <x:c r="I43" s="44" t="str">
        <x:v>Ghi ngày/phút</x:v>
      </x:c>
      <x:c r="J43" s="40" t="str">
        <x:f>IF(AND(ISBLANK(F43),ISBLANK(G43),ISBLANK(H43)),"",IF(NOT(ISNUMBER(F43)),"Lỗi đáp án",IF(OR(F43&lt;0,F43&gt;K43,MOD(F43,1)&lt;&gt;0),"Lỗi đáp án",IF(AND(LEN(H43)&gt;0,COUNTIF('Nhật ký'!$I$63:$I$69,H43)=0),"Lỗi mã",IF(AND(F43=0,G43="Bỏ trống"),"Đã chấm",IF(AND(F43&gt;0,OR(G43="Đúng",G43="Sai")),"Đã chấm",IF(ISBLANK(G43),"Chưa chấm","Kiểm tra bỏ trống")))))))</x:f>
      </x:c>
      <x:c r="K43" s="40" t="n">
        <x:v>3</x:v>
      </x:c>
      <x:c r="M43" t="str">
        <x:v>N4-L2:M4-2</x:v>
      </x:c>
      <x:c r="N43" t="n">
        <x:v>3</x:v>
      </x:c>
      <x:c r="O43" t="str">
        <x:v>N4answer.pdf p2</x:v>
      </x:c>
    </x:row>
    <x:row r="44" ht="25" customHeight="1">
      <x:c r="A44" s="2" t="str">
        <x:v>N3-G</x:v>
      </x:c>
      <x:c r="B44" s="2" t="str">
        <x:v>N3</x:v>
      </x:c>
      <x:c r="C44" s="2" t="str">
        <x:v>Ngữ pháp</x:v>
      </x:c>
      <x:c r="D44" s="2" t="str">
        <x:v>1</x:v>
      </x:c>
      <x:c r="E44" s="44" t="str">
        <x:v>Mở đề</x:v>
      </x:c>
      <x:c r="F44" s="39"/>
      <x:c r="G44" s="39"/>
      <x:c r="H44" s="39"/>
      <x:c r="I44" s="2"/>
      <x:c r="J44" s="40" t="str">
        <x:f>IF(AND(ISBLANK(F44),ISBLANK(G44),ISBLANK(H44)),"",IF(NOT(ISNUMBER(F44)),"Lỗi đáp án",IF(OR(F44&lt;0,F44&gt;K44,MOD(F44,1)&lt;&gt;0),"Lỗi đáp án",IF(AND(LEN(H44)&gt;0,COUNTIF('Nhật ký'!$I$63:$I$69,H44)=0),"Lỗi mã",IF(AND(F44=0,G44="Bỏ trống"),"Đã chấm",IF(AND(F44&gt;0,OR(G44="Đúng",G44="Sai")),"Đã chấm",IF(ISBLANK(G44),"Chưa chấm","Kiểm tra bỏ trống")))))))</x:f>
      </x:c>
      <x:c r="K44" s="40" t="n">
        <x:v>4</x:v>
      </x:c>
      <x:c r="M44" t="str">
        <x:v>N3-G:1</x:v>
      </x:c>
      <x:c r="N44" t="n">
        <x:v>2</x:v>
      </x:c>
      <x:c r="O44" t="str">
        <x:v>N3answer.pdf p1</x:v>
      </x:c>
    </x:row>
    <x:row r="45" ht="25" customHeight="1">
      <x:c r="A45" s="2" t="str">
        <x:v>N3-G</x:v>
      </x:c>
      <x:c r="B45" s="2" t="str">
        <x:v>N3</x:v>
      </x:c>
      <x:c r="C45" s="2" t="str">
        <x:v>Ngữ pháp</x:v>
      </x:c>
      <x:c r="D45" s="2" t="str">
        <x:v>2</x:v>
      </x:c>
      <x:c r="E45" s="44" t="str">
        <x:v>Mở đề</x:v>
      </x:c>
      <x:c r="F45" s="39"/>
      <x:c r="G45" s="39"/>
      <x:c r="H45" s="39"/>
      <x:c r="I45" s="2"/>
      <x:c r="J45" s="40" t="str">
        <x:f>IF(AND(ISBLANK(F45),ISBLANK(G45),ISBLANK(H45)),"",IF(NOT(ISNUMBER(F45)),"Lỗi đáp án",IF(OR(F45&lt;0,F45&gt;K45,MOD(F45,1)&lt;&gt;0),"Lỗi đáp án",IF(AND(LEN(H45)&gt;0,COUNTIF('Nhật ký'!$I$63:$I$69,H45)=0),"Lỗi mã",IF(AND(F45=0,G45="Bỏ trống"),"Đã chấm",IF(AND(F45&gt;0,OR(G45="Đúng",G45="Sai")),"Đã chấm",IF(ISBLANK(G45),"Chưa chấm","Kiểm tra bỏ trống")))))))</x:f>
      </x:c>
      <x:c r="K45" s="40" t="n">
        <x:v>4</x:v>
      </x:c>
      <x:c r="M45" t="str">
        <x:v>N3-G:2</x:v>
      </x:c>
      <x:c r="N45" t="n">
        <x:v>4</x:v>
      </x:c>
      <x:c r="O45" t="str">
        <x:v>N3answer.pdf p1</x:v>
      </x:c>
    </x:row>
    <x:row r="46" ht="25" customHeight="1">
      <x:c r="A46" s="2" t="str">
        <x:v>N3-G</x:v>
      </x:c>
      <x:c r="B46" s="2" t="str">
        <x:v>N3</x:v>
      </x:c>
      <x:c r="C46" s="2" t="str">
        <x:v>Ngữ pháp</x:v>
      </x:c>
      <x:c r="D46" s="2" t="str">
        <x:v>3</x:v>
      </x:c>
      <x:c r="E46" s="44" t="str">
        <x:v>Mở đề</x:v>
      </x:c>
      <x:c r="F46" s="39"/>
      <x:c r="G46" s="39"/>
      <x:c r="H46" s="39"/>
      <x:c r="I46" s="2"/>
      <x:c r="J46" s="40" t="str">
        <x:f>IF(AND(ISBLANK(F46),ISBLANK(G46),ISBLANK(H46)),"",IF(NOT(ISNUMBER(F46)),"Lỗi đáp án",IF(OR(F46&lt;0,F46&gt;K46,MOD(F46,1)&lt;&gt;0),"Lỗi đáp án",IF(AND(LEN(H46)&gt;0,COUNTIF('Nhật ký'!$I$63:$I$69,H46)=0),"Lỗi mã",IF(AND(F46=0,G46="Bỏ trống"),"Đã chấm",IF(AND(F46&gt;0,OR(G46="Đúng",G46="Sai")),"Đã chấm",IF(ISBLANK(G46),"Chưa chấm","Kiểm tra bỏ trống")))))))</x:f>
      </x:c>
      <x:c r="K46" s="40" t="n">
        <x:v>4</x:v>
      </x:c>
      <x:c r="M46" t="str">
        <x:v>N3-G:3</x:v>
      </x:c>
      <x:c r="N46" t="n">
        <x:v>3</x:v>
      </x:c>
      <x:c r="O46" t="str">
        <x:v>N3answer.pdf p1</x:v>
      </x:c>
    </x:row>
    <x:row r="47" ht="25" customHeight="1">
      <x:c r="A47" s="2" t="str">
        <x:v>N3-G</x:v>
      </x:c>
      <x:c r="B47" s="2" t="str">
        <x:v>N3</x:v>
      </x:c>
      <x:c r="C47" s="2" t="str">
        <x:v>Ngữ pháp</x:v>
      </x:c>
      <x:c r="D47" s="2" t="str">
        <x:v>4</x:v>
      </x:c>
      <x:c r="E47" s="44" t="str">
        <x:v>Mở đề</x:v>
      </x:c>
      <x:c r="F47" s="39"/>
      <x:c r="G47" s="39"/>
      <x:c r="H47" s="39"/>
      <x:c r="I47" s="2"/>
      <x:c r="J47" s="40" t="str">
        <x:f>IF(AND(ISBLANK(F47),ISBLANK(G47),ISBLANK(H47)),"",IF(NOT(ISNUMBER(F47)),"Lỗi đáp án",IF(OR(F47&lt;0,F47&gt;K47,MOD(F47,1)&lt;&gt;0),"Lỗi đáp án",IF(AND(LEN(H47)&gt;0,COUNTIF('Nhật ký'!$I$63:$I$69,H47)=0),"Lỗi mã",IF(AND(F47=0,G47="Bỏ trống"),"Đã chấm",IF(AND(F47&gt;0,OR(G47="Đúng",G47="Sai")),"Đã chấm",IF(ISBLANK(G47),"Chưa chấm","Kiểm tra bỏ trống")))))))</x:f>
      </x:c>
      <x:c r="K47" s="40" t="n">
        <x:v>4</x:v>
      </x:c>
      <x:c r="M47" t="str">
        <x:v>N3-G:4</x:v>
      </x:c>
      <x:c r="N47" t="n">
        <x:v>1</x:v>
      </x:c>
      <x:c r="O47" t="str">
        <x:v>N3answer.pdf p1</x:v>
      </x:c>
    </x:row>
    <x:row r="48" ht="25" customHeight="1">
      <x:c r="A48" s="2" t="str">
        <x:v>N3-G</x:v>
      </x:c>
      <x:c r="B48" s="2" t="str">
        <x:v>N3</x:v>
      </x:c>
      <x:c r="C48" s="2" t="str">
        <x:v>Ngữ pháp</x:v>
      </x:c>
      <x:c r="D48" s="2" t="str">
        <x:v>14</x:v>
      </x:c>
      <x:c r="E48" s="44" t="str">
        <x:v>Mở đề</x:v>
      </x:c>
      <x:c r="F48" s="39"/>
      <x:c r="G48" s="39"/>
      <x:c r="H48" s="39"/>
      <x:c r="I48" s="2"/>
      <x:c r="J48" s="40" t="str">
        <x:f>IF(AND(ISBLANK(F48),ISBLANK(G48),ISBLANK(H48)),"",IF(NOT(ISNUMBER(F48)),"Lỗi đáp án",IF(OR(F48&lt;0,F48&gt;K48,MOD(F48,1)&lt;&gt;0),"Lỗi đáp án",IF(AND(LEN(H48)&gt;0,COUNTIF('Nhật ký'!$I$63:$I$69,H48)=0),"Lỗi mã",IF(AND(F48=0,G48="Bỏ trống"),"Đã chấm",IF(AND(F48&gt;0,OR(G48="Đúng",G48="Sai")),"Đã chấm",IF(ISBLANK(G48),"Chưa chấm","Kiểm tra bỏ trống")))))))</x:f>
      </x:c>
      <x:c r="K48" s="40" t="n">
        <x:v>4</x:v>
      </x:c>
      <x:c r="M48" t="str">
        <x:v>N3-G:14</x:v>
      </x:c>
      <x:c r="N48" t="n">
        <x:v>2</x:v>
      </x:c>
      <x:c r="O48" t="str">
        <x:v>N3answer.pdf p1</x:v>
      </x:c>
    </x:row>
    <x:row r="49" ht="25" customHeight="1">
      <x:c r="A49" s="2" t="str">
        <x:v>N3-G</x:v>
      </x:c>
      <x:c r="B49" s="2" t="str">
        <x:v>N3</x:v>
      </x:c>
      <x:c r="C49" s="2" t="str">
        <x:v>Ngữ pháp</x:v>
      </x:c>
      <x:c r="D49" s="2" t="str">
        <x:v>15</x:v>
      </x:c>
      <x:c r="E49" s="44" t="str">
        <x:v>Mở đề</x:v>
      </x:c>
      <x:c r="F49" s="39"/>
      <x:c r="G49" s="39"/>
      <x:c r="H49" s="39"/>
      <x:c r="I49" s="44" t="str">
        <x:v>Ghi ngày/phút</x:v>
      </x:c>
      <x:c r="J49" s="40" t="str">
        <x:f>IF(AND(ISBLANK(F49),ISBLANK(G49),ISBLANK(H49)),"",IF(NOT(ISNUMBER(F49)),"Lỗi đáp án",IF(OR(F49&lt;0,F49&gt;K49,MOD(F49,1)&lt;&gt;0),"Lỗi đáp án",IF(AND(LEN(H49)&gt;0,COUNTIF('Nhật ký'!$I$63:$I$69,H49)=0),"Lỗi mã",IF(AND(F49=0,G49="Bỏ trống"),"Đã chấm",IF(AND(F49&gt;0,OR(G49="Đúng",G49="Sai")),"Đã chấm",IF(ISBLANK(G49),"Chưa chấm","Kiểm tra bỏ trống")))))))</x:f>
      </x:c>
      <x:c r="K49" s="40" t="n">
        <x:v>4</x:v>
      </x:c>
      <x:c r="M49" t="str">
        <x:v>N3-G:15</x:v>
      </x:c>
      <x:c r="N49" t="n">
        <x:v>4</x:v>
      </x:c>
      <x:c r="O49" t="str">
        <x:v>N3answer.pdf p1</x:v>
      </x:c>
    </x:row>
    <x:row r="50" ht="25" customHeight="1">
      <x:c r="A50" s="2" t="str">
        <x:v>N3-V</x:v>
      </x:c>
      <x:c r="B50" s="2" t="str">
        <x:v>N3</x:v>
      </x:c>
      <x:c r="C50" s="2" t="str">
        <x:v>Từ và kanji</x:v>
      </x:c>
      <x:c r="D50" s="2" t="str">
        <x:v>1</x:v>
      </x:c>
      <x:c r="E50" s="44" t="str">
        <x:v>Mở đề</x:v>
      </x:c>
      <x:c r="F50" s="39"/>
      <x:c r="G50" s="39"/>
      <x:c r="H50" s="39"/>
      <x:c r="I50" s="2"/>
      <x:c r="J50" s="40" t="str">
        <x:f>IF(AND(ISBLANK(F50),ISBLANK(G50),ISBLANK(H50)),"",IF(NOT(ISNUMBER(F50)),"Lỗi đáp án",IF(OR(F50&lt;0,F50&gt;K50,MOD(F50,1)&lt;&gt;0),"Lỗi đáp án",IF(AND(LEN(H50)&gt;0,COUNTIF('Nhật ký'!$I$63:$I$69,H50)=0),"Lỗi mã",IF(AND(F50=0,G50="Bỏ trống"),"Đã chấm",IF(AND(F50&gt;0,OR(G50="Đúng",G50="Sai")),"Đã chấm",IF(ISBLANK(G50),"Chưa chấm","Kiểm tra bỏ trống")))))))</x:f>
      </x:c>
      <x:c r="K50" s="40" t="n">
        <x:v>4</x:v>
      </x:c>
      <x:c r="M50" t="str">
        <x:v>N3-V:1</x:v>
      </x:c>
      <x:c r="N50" t="n">
        <x:v>4</x:v>
      </x:c>
      <x:c r="O50" t="str">
        <x:v>N3answer.pdf p1</x:v>
      </x:c>
    </x:row>
    <x:row r="51" ht="25" customHeight="1">
      <x:c r="A51" s="2" t="str">
        <x:v>N3-V</x:v>
      </x:c>
      <x:c r="B51" s="2" t="str">
        <x:v>N3</x:v>
      </x:c>
      <x:c r="C51" s="2" t="str">
        <x:v>Từ và kanji</x:v>
      </x:c>
      <x:c r="D51" s="2" t="str">
        <x:v>2</x:v>
      </x:c>
      <x:c r="E51" s="44" t="str">
        <x:v>Mở đề</x:v>
      </x:c>
      <x:c r="F51" s="39"/>
      <x:c r="G51" s="39"/>
      <x:c r="H51" s="39"/>
      <x:c r="I51" s="2"/>
      <x:c r="J51" s="40" t="str">
        <x:f>IF(AND(ISBLANK(F51),ISBLANK(G51),ISBLANK(H51)),"",IF(NOT(ISNUMBER(F51)),"Lỗi đáp án",IF(OR(F51&lt;0,F51&gt;K51,MOD(F51,1)&lt;&gt;0),"Lỗi đáp án",IF(AND(LEN(H51)&gt;0,COUNTIF('Nhật ký'!$I$63:$I$69,H51)=0),"Lỗi mã",IF(AND(F51=0,G51="Bỏ trống"),"Đã chấm",IF(AND(F51&gt;0,OR(G51="Đúng",G51="Sai")),"Đã chấm",IF(ISBLANK(G51),"Chưa chấm","Kiểm tra bỏ trống")))))))</x:f>
      </x:c>
      <x:c r="K51" s="40" t="n">
        <x:v>4</x:v>
      </x:c>
      <x:c r="M51" t="str">
        <x:v>N3-V:2</x:v>
      </x:c>
      <x:c r="N51" t="n">
        <x:v>2</x:v>
      </x:c>
      <x:c r="O51" t="str">
        <x:v>N3answer.pdf p1</x:v>
      </x:c>
    </x:row>
    <x:row r="52" ht="25" customHeight="1">
      <x:c r="A52" s="2" t="str">
        <x:v>N3-V</x:v>
      </x:c>
      <x:c r="B52" s="2" t="str">
        <x:v>N3</x:v>
      </x:c>
      <x:c r="C52" s="2" t="str">
        <x:v>Từ và kanji</x:v>
      </x:c>
      <x:c r="D52" s="2" t="str">
        <x:v>9</x:v>
      </x:c>
      <x:c r="E52" s="44" t="str">
        <x:v>Mở đề</x:v>
      </x:c>
      <x:c r="F52" s="39"/>
      <x:c r="G52" s="39"/>
      <x:c r="H52" s="39"/>
      <x:c r="I52" s="2"/>
      <x:c r="J52" s="40" t="str">
        <x:f>IF(AND(ISBLANK(F52),ISBLANK(G52),ISBLANK(H52)),"",IF(NOT(ISNUMBER(F52)),"Lỗi đáp án",IF(OR(F52&lt;0,F52&gt;K52,MOD(F52,1)&lt;&gt;0),"Lỗi đáp án",IF(AND(LEN(H52)&gt;0,COUNTIF('Nhật ký'!$I$63:$I$69,H52)=0),"Lỗi mã",IF(AND(F52=0,G52="Bỏ trống"),"Đã chấm",IF(AND(F52&gt;0,OR(G52="Đúng",G52="Sai")),"Đã chấm",IF(ISBLANK(G52),"Chưa chấm","Kiểm tra bỏ trống")))))))</x:f>
      </x:c>
      <x:c r="K52" s="40" t="n">
        <x:v>4</x:v>
      </x:c>
      <x:c r="M52" t="str">
        <x:v>N3-V:9</x:v>
      </x:c>
      <x:c r="N52" t="n">
        <x:v>4</x:v>
      </x:c>
      <x:c r="O52" t="str">
        <x:v>N3answer.pdf p1</x:v>
      </x:c>
    </x:row>
    <x:row r="53" ht="25" customHeight="1">
      <x:c r="A53" s="2" t="str">
        <x:v>N3-V</x:v>
      </x:c>
      <x:c r="B53" s="2" t="str">
        <x:v>N3</x:v>
      </x:c>
      <x:c r="C53" s="2" t="str">
        <x:v>Từ và kanji</x:v>
      </x:c>
      <x:c r="D53" s="2" t="str">
        <x:v>10</x:v>
      </x:c>
      <x:c r="E53" s="44" t="str">
        <x:v>Mở đề</x:v>
      </x:c>
      <x:c r="F53" s="39"/>
      <x:c r="G53" s="39"/>
      <x:c r="H53" s="39"/>
      <x:c r="I53" s="2"/>
      <x:c r="J53" s="40" t="str">
        <x:f>IF(AND(ISBLANK(F53),ISBLANK(G53),ISBLANK(H53)),"",IF(NOT(ISNUMBER(F53)),"Lỗi đáp án",IF(OR(F53&lt;0,F53&gt;K53,MOD(F53,1)&lt;&gt;0),"Lỗi đáp án",IF(AND(LEN(H53)&gt;0,COUNTIF('Nhật ký'!$I$63:$I$69,H53)=0),"Lỗi mã",IF(AND(F53=0,G53="Bỏ trống"),"Đã chấm",IF(AND(F53&gt;0,OR(G53="Đúng",G53="Sai")),"Đã chấm",IF(ISBLANK(G53),"Chưa chấm","Kiểm tra bỏ trống")))))))</x:f>
      </x:c>
      <x:c r="K53" s="40" t="n">
        <x:v>4</x:v>
      </x:c>
      <x:c r="M53" t="str">
        <x:v>N3-V:10</x:v>
      </x:c>
      <x:c r="N53" t="n">
        <x:v>3</x:v>
      </x:c>
      <x:c r="O53" t="str">
        <x:v>N3answer.pdf p1</x:v>
      </x:c>
    </x:row>
    <x:row r="54" ht="25" customHeight="1">
      <x:c r="A54" s="2" t="str">
        <x:v>N3-V</x:v>
      </x:c>
      <x:c r="B54" s="2" t="str">
        <x:v>N3</x:v>
      </x:c>
      <x:c r="C54" s="2" t="str">
        <x:v>Từ và kanji</x:v>
      </x:c>
      <x:c r="D54" s="2" t="str">
        <x:v>15</x:v>
      </x:c>
      <x:c r="E54" s="44" t="str">
        <x:v>Mở đề</x:v>
      </x:c>
      <x:c r="F54" s="39"/>
      <x:c r="G54" s="39"/>
      <x:c r="H54" s="39"/>
      <x:c r="I54" s="2"/>
      <x:c r="J54" s="40" t="str">
        <x:f>IF(AND(ISBLANK(F54),ISBLANK(G54),ISBLANK(H54)),"",IF(NOT(ISNUMBER(F54)),"Lỗi đáp án",IF(OR(F54&lt;0,F54&gt;K54,MOD(F54,1)&lt;&gt;0),"Lỗi đáp án",IF(AND(LEN(H54)&gt;0,COUNTIF('Nhật ký'!$I$63:$I$69,H54)=0),"Lỗi mã",IF(AND(F54=0,G54="Bỏ trống"),"Đã chấm",IF(AND(F54&gt;0,OR(G54="Đúng",G54="Sai")),"Đã chấm",IF(ISBLANK(G54),"Chưa chấm","Kiểm tra bỏ trống")))))))</x:f>
      </x:c>
      <x:c r="K54" s="40" t="n">
        <x:v>4</x:v>
      </x:c>
      <x:c r="M54" t="str">
        <x:v>N3-V:15</x:v>
      </x:c>
      <x:c r="N54" t="n">
        <x:v>2</x:v>
      </x:c>
      <x:c r="O54" t="str">
        <x:v>N3answer.pdf p1</x:v>
      </x:c>
    </x:row>
    <x:row r="55" ht="25" customHeight="1">
      <x:c r="A55" s="2" t="str">
        <x:v>N3-V</x:v>
      </x:c>
      <x:c r="B55" s="2" t="str">
        <x:v>N3</x:v>
      </x:c>
      <x:c r="C55" s="2" t="str">
        <x:v>Từ và kanji</x:v>
      </x:c>
      <x:c r="D55" s="2" t="str">
        <x:v>16</x:v>
      </x:c>
      <x:c r="E55" s="44" t="str">
        <x:v>Mở đề</x:v>
      </x:c>
      <x:c r="F55" s="39"/>
      <x:c r="G55" s="39"/>
      <x:c r="H55" s="39"/>
      <x:c r="I55" s="2"/>
      <x:c r="J55" s="40" t="str">
        <x:f>IF(AND(ISBLANK(F55),ISBLANK(G55),ISBLANK(H55)),"",IF(NOT(ISNUMBER(F55)),"Lỗi đáp án",IF(OR(F55&lt;0,F55&gt;K55,MOD(F55,1)&lt;&gt;0),"Lỗi đáp án",IF(AND(LEN(H55)&gt;0,COUNTIF('Nhật ký'!$I$63:$I$69,H55)=0),"Lỗi mã",IF(AND(F55=0,G55="Bỏ trống"),"Đã chấm",IF(AND(F55&gt;0,OR(G55="Đúng",G55="Sai")),"Đã chấm",IF(ISBLANK(G55),"Chưa chấm","Kiểm tra bỏ trống")))))))</x:f>
      </x:c>
      <x:c r="K55" s="40" t="n">
        <x:v>4</x:v>
      </x:c>
      <x:c r="M55" t="str">
        <x:v>N3-V:16</x:v>
      </x:c>
      <x:c r="N55" t="n">
        <x:v>4</x:v>
      </x:c>
      <x:c r="O55" t="str">
        <x:v>N3answer.pdf p1</x:v>
      </x:c>
    </x:row>
    <x:row r="56" ht="25" customHeight="1">
      <x:c r="A56" s="2" t="str">
        <x:v>N3-V</x:v>
      </x:c>
      <x:c r="B56" s="2" t="str">
        <x:v>N3</x:v>
      </x:c>
      <x:c r="C56" s="2" t="str">
        <x:v>Từ và kanji</x:v>
      </x:c>
      <x:c r="D56" s="2" t="str">
        <x:v>26</x:v>
      </x:c>
      <x:c r="E56" s="44" t="str">
        <x:v>Mở đề</x:v>
      </x:c>
      <x:c r="F56" s="39"/>
      <x:c r="G56" s="39"/>
      <x:c r="H56" s="39"/>
      <x:c r="I56" s="2"/>
      <x:c r="J56" s="40" t="str">
        <x:f>IF(AND(ISBLANK(F56),ISBLANK(G56),ISBLANK(H56)),"",IF(NOT(ISNUMBER(F56)),"Lỗi đáp án",IF(OR(F56&lt;0,F56&gt;K56,MOD(F56,1)&lt;&gt;0),"Lỗi đáp án",IF(AND(LEN(H56)&gt;0,COUNTIF('Nhật ký'!$I$63:$I$69,H56)=0),"Lỗi mã",IF(AND(F56=0,G56="Bỏ trống"),"Đã chấm",IF(AND(F56&gt;0,OR(G56="Đúng",G56="Sai")),"Đã chấm",IF(ISBLANK(G56),"Chưa chấm","Kiểm tra bỏ trống")))))))</x:f>
      </x:c>
      <x:c r="K56" s="40" t="n">
        <x:v>4</x:v>
      </x:c>
      <x:c r="M56" t="str">
        <x:v>N3-V:26</x:v>
      </x:c>
      <x:c r="N56" t="n">
        <x:v>4</x:v>
      </x:c>
      <x:c r="O56" t="str">
        <x:v>N3answer.pdf p1</x:v>
      </x:c>
    </x:row>
    <x:row r="57" ht="25" customHeight="1">
      <x:c r="A57" s="2" t="str">
        <x:v>N3-V</x:v>
      </x:c>
      <x:c r="B57" s="2" t="str">
        <x:v>N3</x:v>
      </x:c>
      <x:c r="C57" s="2" t="str">
        <x:v>Từ và kanji</x:v>
      </x:c>
      <x:c r="D57" s="2" t="str">
        <x:v>27</x:v>
      </x:c>
      <x:c r="E57" s="44" t="str">
        <x:v>Mở đề</x:v>
      </x:c>
      <x:c r="F57" s="39"/>
      <x:c r="G57" s="39"/>
      <x:c r="H57" s="39"/>
      <x:c r="I57" s="2"/>
      <x:c r="J57" s="40" t="str">
        <x:f>IF(AND(ISBLANK(F57),ISBLANK(G57),ISBLANK(H57)),"",IF(NOT(ISNUMBER(F57)),"Lỗi đáp án",IF(OR(F57&lt;0,F57&gt;K57,MOD(F57,1)&lt;&gt;0),"Lỗi đáp án",IF(AND(LEN(H57)&gt;0,COUNTIF('Nhật ký'!$I$63:$I$69,H57)=0),"Lỗi mã",IF(AND(F57=0,G57="Bỏ trống"),"Đã chấm",IF(AND(F57&gt;0,OR(G57="Đúng",G57="Sai")),"Đã chấm",IF(ISBLANK(G57),"Chưa chấm","Kiểm tra bỏ trống")))))))</x:f>
      </x:c>
      <x:c r="K57" s="40" t="n">
        <x:v>4</x:v>
      </x:c>
      <x:c r="M57" t="str">
        <x:v>N3-V:27</x:v>
      </x:c>
      <x:c r="N57" t="n">
        <x:v>1</x:v>
      </x:c>
      <x:c r="O57" t="str">
        <x:v>N3answer.pdf p1</x:v>
      </x:c>
    </x:row>
    <x:row r="58" ht="25" customHeight="1">
      <x:c r="A58" s="2" t="str">
        <x:v>N3-V</x:v>
      </x:c>
      <x:c r="B58" s="2" t="str">
        <x:v>N3</x:v>
      </x:c>
      <x:c r="C58" s="2" t="str">
        <x:v>Từ và kanji</x:v>
      </x:c>
      <x:c r="D58" s="2" t="str">
        <x:v>31</x:v>
      </x:c>
      <x:c r="E58" s="44" t="str">
        <x:v>Mở đề</x:v>
      </x:c>
      <x:c r="F58" s="39"/>
      <x:c r="G58" s="39"/>
      <x:c r="H58" s="39"/>
      <x:c r="I58" s="2"/>
      <x:c r="J58" s="40" t="str">
        <x:f>IF(AND(ISBLANK(F58),ISBLANK(G58),ISBLANK(H58)),"",IF(NOT(ISNUMBER(F58)),"Lỗi đáp án",IF(OR(F58&lt;0,F58&gt;K58,MOD(F58,1)&lt;&gt;0),"Lỗi đáp án",IF(AND(LEN(H58)&gt;0,COUNTIF('Nhật ký'!$I$63:$I$69,H58)=0),"Lỗi mã",IF(AND(F58=0,G58="Bỏ trống"),"Đã chấm",IF(AND(F58&gt;0,OR(G58="Đúng",G58="Sai")),"Đã chấm",IF(ISBLANK(G58),"Chưa chấm","Kiểm tra bỏ trống")))))))</x:f>
      </x:c>
      <x:c r="K58" s="40" t="n">
        <x:v>4</x:v>
      </x:c>
      <x:c r="M58" t="str">
        <x:v>N3-V:31</x:v>
      </x:c>
      <x:c r="N58" t="n">
        <x:v>3</x:v>
      </x:c>
      <x:c r="O58" t="str">
        <x:v>N3answer.pdf p1</x:v>
      </x:c>
    </x:row>
    <x:row r="59" ht="25" customHeight="1">
      <x:c r="A59" s="2" t="str">
        <x:v>N3-V</x:v>
      </x:c>
      <x:c r="B59" s="2" t="str">
        <x:v>N3</x:v>
      </x:c>
      <x:c r="C59" s="2" t="str">
        <x:v>Từ và kanji</x:v>
      </x:c>
      <x:c r="D59" s="2" t="str">
        <x:v>32</x:v>
      </x:c>
      <x:c r="E59" s="44" t="str">
        <x:v>Mở đề</x:v>
      </x:c>
      <x:c r="F59" s="39"/>
      <x:c r="G59" s="39"/>
      <x:c r="H59" s="39"/>
      <x:c r="I59" s="44" t="str">
        <x:v>Ghi ngày/phút</x:v>
      </x:c>
      <x:c r="J59" s="40" t="str">
        <x:f>IF(AND(ISBLANK(F59),ISBLANK(G59),ISBLANK(H59)),"",IF(NOT(ISNUMBER(F59)),"Lỗi đáp án",IF(OR(F59&lt;0,F59&gt;K59,MOD(F59,1)&lt;&gt;0),"Lỗi đáp án",IF(AND(LEN(H59)&gt;0,COUNTIF('Nhật ký'!$I$63:$I$69,H59)=0),"Lỗi mã",IF(AND(F59=0,G59="Bỏ trống"),"Đã chấm",IF(AND(F59&gt;0,OR(G59="Đúng",G59="Sai")),"Đã chấm",IF(ISBLANK(G59),"Chưa chấm","Kiểm tra bỏ trống")))))))</x:f>
      </x:c>
      <x:c r="K59" s="40" t="n">
        <x:v>4</x:v>
      </x:c>
      <x:c r="M59" t="str">
        <x:v>N3-V:32</x:v>
      </x:c>
      <x:c r="N59" t="n">
        <x:v>2</x:v>
      </x:c>
      <x:c r="O59" t="str">
        <x:v>N3answer.pdf p1</x:v>
      </x:c>
    </x:row>
    <x:row r="60" ht="25" customHeight="1">
      <x:c r="A60" s="2" t="str">
        <x:v>N3-R</x:v>
      </x:c>
      <x:c r="B60" s="2" t="str">
        <x:v>N3</x:v>
      </x:c>
      <x:c r="C60" s="2" t="str">
        <x:v>Đọc</x:v>
      </x:c>
      <x:c r="D60" s="2" t="str">
        <x:v>24</x:v>
      </x:c>
      <x:c r="E60" s="44" t="str">
        <x:v>Mở đề</x:v>
      </x:c>
      <x:c r="F60" s="39"/>
      <x:c r="G60" s="39"/>
      <x:c r="H60" s="39"/>
      <x:c r="I60" s="2"/>
      <x:c r="J60" s="40" t="str">
        <x:f>IF(AND(ISBLANK(F60),ISBLANK(G60),ISBLANK(H60)),"",IF(NOT(ISNUMBER(F60)),"Lỗi đáp án",IF(OR(F60&lt;0,F60&gt;K60,MOD(F60,1)&lt;&gt;0),"Lỗi đáp án",IF(AND(LEN(H60)&gt;0,COUNTIF('Nhật ký'!$I$63:$I$69,H60)=0),"Lỗi mã",IF(AND(F60=0,G60="Bỏ trống"),"Đã chấm",IF(AND(F60&gt;0,OR(G60="Đúng",G60="Sai")),"Đã chấm",IF(ISBLANK(G60),"Chưa chấm","Kiểm tra bỏ trống")))))))</x:f>
      </x:c>
      <x:c r="K60" s="40" t="n">
        <x:v>4</x:v>
      </x:c>
      <x:c r="M60" t="str">
        <x:v>N3-R:24</x:v>
      </x:c>
      <x:c r="N60" t="n">
        <x:v>3</x:v>
      </x:c>
      <x:c r="O60" t="str">
        <x:v>N3answer.pdf p2</x:v>
      </x:c>
    </x:row>
    <x:row r="61" ht="25" customHeight="1">
      <x:c r="A61" s="2" t="str">
        <x:v>N3-R</x:v>
      </x:c>
      <x:c r="B61" s="2" t="str">
        <x:v>N3</x:v>
      </x:c>
      <x:c r="C61" s="2" t="str">
        <x:v>Đọc</x:v>
      </x:c>
      <x:c r="D61" s="2" t="str">
        <x:v>28</x:v>
      </x:c>
      <x:c r="E61" s="44" t="str">
        <x:v>Mở đề</x:v>
      </x:c>
      <x:c r="F61" s="39"/>
      <x:c r="G61" s="39"/>
      <x:c r="H61" s="39"/>
      <x:c r="I61" s="2"/>
      <x:c r="J61" s="40" t="str">
        <x:f>IF(AND(ISBLANK(F61),ISBLANK(G61),ISBLANK(H61)),"",IF(NOT(ISNUMBER(F61)),"Lỗi đáp án",IF(OR(F61&lt;0,F61&gt;K61,MOD(F61,1)&lt;&gt;0),"Lỗi đáp án",IF(AND(LEN(H61)&gt;0,COUNTIF('Nhật ký'!$I$63:$I$69,H61)=0),"Lỗi mã",IF(AND(F61=0,G61="Bỏ trống"),"Đã chấm",IF(AND(F61&gt;0,OR(G61="Đúng",G61="Sai")),"Đã chấm",IF(ISBLANK(G61),"Chưa chấm","Kiểm tra bỏ trống")))))))</x:f>
      </x:c>
      <x:c r="K61" s="40" t="n">
        <x:v>4</x:v>
      </x:c>
      <x:c r="M61" t="str">
        <x:v>N3-R:28</x:v>
      </x:c>
      <x:c r="N61" t="n">
        <x:v>2</x:v>
      </x:c>
      <x:c r="O61" t="str">
        <x:v>N3answer.pdf p2</x:v>
      </x:c>
    </x:row>
    <x:row r="62" ht="25" customHeight="1">
      <x:c r="A62" s="2" t="str">
        <x:v>N3-R</x:v>
      </x:c>
      <x:c r="B62" s="2" t="str">
        <x:v>N3</x:v>
      </x:c>
      <x:c r="C62" s="2" t="str">
        <x:v>Đọc</x:v>
      </x:c>
      <x:c r="D62" s="2" t="str">
        <x:v>29</x:v>
      </x:c>
      <x:c r="E62" s="44" t="str">
        <x:v>Mở đề</x:v>
      </x:c>
      <x:c r="F62" s="39"/>
      <x:c r="G62" s="39"/>
      <x:c r="H62" s="39"/>
      <x:c r="I62" s="2"/>
      <x:c r="J62" s="40" t="str">
        <x:f>IF(AND(ISBLANK(F62),ISBLANK(G62),ISBLANK(H62)),"",IF(NOT(ISNUMBER(F62)),"Lỗi đáp án",IF(OR(F62&lt;0,F62&gt;K62,MOD(F62,1)&lt;&gt;0),"Lỗi đáp án",IF(AND(LEN(H62)&gt;0,COUNTIF('Nhật ký'!$I$63:$I$69,H62)=0),"Lỗi mã",IF(AND(F62=0,G62="Bỏ trống"),"Đã chấm",IF(AND(F62&gt;0,OR(G62="Đúng",G62="Sai")),"Đã chấm",IF(ISBLANK(G62),"Chưa chấm","Kiểm tra bỏ trống")))))))</x:f>
      </x:c>
      <x:c r="K62" s="40" t="n">
        <x:v>4</x:v>
      </x:c>
      <x:c r="M62" t="str">
        <x:v>N3-R:29</x:v>
      </x:c>
      <x:c r="N62" t="n">
        <x:v>3</x:v>
      </x:c>
      <x:c r="O62" t="str">
        <x:v>N3answer.pdf p2</x:v>
      </x:c>
    </x:row>
    <x:row r="63" ht="25" customHeight="1">
      <x:c r="A63" s="2" t="str">
        <x:v>N3-R</x:v>
      </x:c>
      <x:c r="B63" s="2" t="str">
        <x:v>N3</x:v>
      </x:c>
      <x:c r="C63" s="2" t="str">
        <x:v>Đọc</x:v>
      </x:c>
      <x:c r="D63" s="2" t="str">
        <x:v>30</x:v>
      </x:c>
      <x:c r="E63" s="44" t="str">
        <x:v>Mở đề</x:v>
      </x:c>
      <x:c r="F63" s="39"/>
      <x:c r="G63" s="39"/>
      <x:c r="H63" s="39"/>
      <x:c r="I63" s="44" t="str">
        <x:v>Ghi ngày/phút</x:v>
      </x:c>
      <x:c r="J63" s="40" t="str">
        <x:f>IF(AND(ISBLANK(F63),ISBLANK(G63),ISBLANK(H63)),"",IF(NOT(ISNUMBER(F63)),"Lỗi đáp án",IF(OR(F63&lt;0,F63&gt;K63,MOD(F63,1)&lt;&gt;0),"Lỗi đáp án",IF(AND(LEN(H63)&gt;0,COUNTIF('Nhật ký'!$I$63:$I$69,H63)=0),"Lỗi mã",IF(AND(F63=0,G63="Bỏ trống"),"Đã chấm",IF(AND(F63&gt;0,OR(G63="Đúng",G63="Sai")),"Đã chấm",IF(ISBLANK(G63),"Chưa chấm","Kiểm tra bỏ trống")))))))</x:f>
      </x:c>
      <x:c r="K63" s="40" t="n">
        <x:v>4</x:v>
      </x:c>
      <x:c r="M63" t="str">
        <x:v>N3-R:30</x:v>
      </x:c>
      <x:c r="N63" t="n">
        <x:v>4</x:v>
      </x:c>
      <x:c r="O63" t="str">
        <x:v>N3answer.pdf p2</x:v>
      </x:c>
    </x:row>
    <x:row r="64" ht="25" customHeight="1">
      <x:c r="A64" s="2" t="str">
        <x:v>N3-L1</x:v>
      </x:c>
      <x:c r="B64" s="2" t="str">
        <x:v>N3</x:v>
      </x:c>
      <x:c r="C64" s="2" t="str">
        <x:v>Nghe</x:v>
      </x:c>
      <x:c r="D64" s="2" t="str">
        <x:v>M1-1</x:v>
      </x:c>
      <x:c r="E64" s="44" t="str">
        <x:v>Mở đề</x:v>
      </x:c>
      <x:c r="F64" s="39"/>
      <x:c r="G64" s="39"/>
      <x:c r="H64" s="39"/>
      <x:c r="I64" s="2"/>
      <x:c r="J64" s="40" t="str">
        <x:f>IF(AND(ISBLANK(F64),ISBLANK(G64),ISBLANK(H64)),"",IF(NOT(ISNUMBER(F64)),"Lỗi đáp án",IF(OR(F64&lt;0,F64&gt;K64,MOD(F64,1)&lt;&gt;0),"Lỗi đáp án",IF(AND(LEN(H64)&gt;0,COUNTIF('Nhật ký'!$I$63:$I$69,H64)=0),"Lỗi mã",IF(AND(F64=0,G64="Bỏ trống"),"Đã chấm",IF(AND(F64&gt;0,OR(G64="Đúng",G64="Sai")),"Đã chấm",IF(ISBLANK(G64),"Chưa chấm","Kiểm tra bỏ trống")))))))</x:f>
      </x:c>
      <x:c r="K64" s="40" t="n">
        <x:v>4</x:v>
      </x:c>
      <x:c r="M64" t="str">
        <x:v>N3-L1:M1-1</x:v>
      </x:c>
      <x:c r="N64" t="n">
        <x:v>2</x:v>
      </x:c>
      <x:c r="O64" t="str">
        <x:v>N3answer.pdf p2</x:v>
      </x:c>
    </x:row>
    <x:row r="65" ht="25" customHeight="1">
      <x:c r="A65" s="2" t="str">
        <x:v>N3-L1</x:v>
      </x:c>
      <x:c r="B65" s="2" t="str">
        <x:v>N3</x:v>
      </x:c>
      <x:c r="C65" s="2" t="str">
        <x:v>Nghe</x:v>
      </x:c>
      <x:c r="D65" s="2" t="str">
        <x:v>M1-2</x:v>
      </x:c>
      <x:c r="E65" s="44" t="str">
        <x:v>Mở đề</x:v>
      </x:c>
      <x:c r="F65" s="39"/>
      <x:c r="G65" s="39"/>
      <x:c r="H65" s="39"/>
      <x:c r="I65" s="2"/>
      <x:c r="J65" s="40" t="str">
        <x:f>IF(AND(ISBLANK(F65),ISBLANK(G65),ISBLANK(H65)),"",IF(NOT(ISNUMBER(F65)),"Lỗi đáp án",IF(OR(F65&lt;0,F65&gt;K65,MOD(F65,1)&lt;&gt;0),"Lỗi đáp án",IF(AND(LEN(H65)&gt;0,COUNTIF('Nhật ký'!$I$63:$I$69,H65)=0),"Lỗi mã",IF(AND(F65=0,G65="Bỏ trống"),"Đã chấm",IF(AND(F65&gt;0,OR(G65="Đúng",G65="Sai")),"Đã chấm",IF(ISBLANK(G65),"Chưa chấm","Kiểm tra bỏ trống")))))))</x:f>
      </x:c>
      <x:c r="K65" s="40" t="n">
        <x:v>4</x:v>
      </x:c>
      <x:c r="M65" t="str">
        <x:v>N3-L1:M1-2</x:v>
      </x:c>
      <x:c r="N65" t="n">
        <x:v>3</x:v>
      </x:c>
      <x:c r="O65" t="str">
        <x:v>N3answer.pdf p2</x:v>
      </x:c>
    </x:row>
    <x:row r="66" ht="25" customHeight="1">
      <x:c r="A66" s="2" t="str">
        <x:v>N3-L1</x:v>
      </x:c>
      <x:c r="B66" s="2" t="str">
        <x:v>N3</x:v>
      </x:c>
      <x:c r="C66" s="2" t="str">
        <x:v>Nghe</x:v>
      </x:c>
      <x:c r="D66" s="2" t="str">
        <x:v>M2-1</x:v>
      </x:c>
      <x:c r="E66" s="44" t="str">
        <x:v>Mở đề</x:v>
      </x:c>
      <x:c r="F66" s="39"/>
      <x:c r="G66" s="39"/>
      <x:c r="H66" s="39"/>
      <x:c r="I66" s="2"/>
      <x:c r="J66" s="40" t="str">
        <x:f>IF(AND(ISBLANK(F66),ISBLANK(G66),ISBLANK(H66)),"",IF(NOT(ISNUMBER(F66)),"Lỗi đáp án",IF(OR(F66&lt;0,F66&gt;K66,MOD(F66,1)&lt;&gt;0),"Lỗi đáp án",IF(AND(LEN(H66)&gt;0,COUNTIF('Nhật ký'!$I$63:$I$69,H66)=0),"Lỗi mã",IF(AND(F66=0,G66="Bỏ trống"),"Đã chấm",IF(AND(F66&gt;0,OR(G66="Đúng",G66="Sai")),"Đã chấm",IF(ISBLANK(G66),"Chưa chấm","Kiểm tra bỏ trống")))))))</x:f>
      </x:c>
      <x:c r="K66" s="40" t="n">
        <x:v>4</x:v>
      </x:c>
      <x:c r="M66" t="str">
        <x:v>N3-L1:M2-1</x:v>
      </x:c>
      <x:c r="N66" t="n">
        <x:v>2</x:v>
      </x:c>
      <x:c r="O66" t="str">
        <x:v>N3answer.pdf p2</x:v>
      </x:c>
    </x:row>
    <x:row r="67" ht="25" customHeight="1">
      <x:c r="A67" s="2" t="str">
        <x:v>N3-L1</x:v>
      </x:c>
      <x:c r="B67" s="2" t="str">
        <x:v>N3</x:v>
      </x:c>
      <x:c r="C67" s="2" t="str">
        <x:v>Nghe</x:v>
      </x:c>
      <x:c r="D67" s="2" t="str">
        <x:v>M2-2</x:v>
      </x:c>
      <x:c r="E67" s="44" t="str">
        <x:v>Mở đề</x:v>
      </x:c>
      <x:c r="F67" s="39"/>
      <x:c r="G67" s="39"/>
      <x:c r="H67" s="39"/>
      <x:c r="I67" s="44" t="str">
        <x:v>Ghi ngày/phút</x:v>
      </x:c>
      <x:c r="J67" s="40" t="str">
        <x:f>IF(AND(ISBLANK(F67),ISBLANK(G67),ISBLANK(H67)),"",IF(NOT(ISNUMBER(F67)),"Lỗi đáp án",IF(OR(F67&lt;0,F67&gt;K67,MOD(F67,1)&lt;&gt;0),"Lỗi đáp án",IF(AND(LEN(H67)&gt;0,COUNTIF('Nhật ký'!$I$63:$I$69,H67)=0),"Lỗi mã",IF(AND(F67=0,G67="Bỏ trống"),"Đã chấm",IF(AND(F67&gt;0,OR(G67="Đúng",G67="Sai")),"Đã chấm",IF(ISBLANK(G67),"Chưa chấm","Kiểm tra bỏ trống")))))))</x:f>
      </x:c>
      <x:c r="K67" s="40" t="n">
        <x:v>4</x:v>
      </x:c>
      <x:c r="M67" t="str">
        <x:v>N3-L1:M2-2</x:v>
      </x:c>
      <x:c r="N67" t="n">
        <x:v>4</x:v>
      </x:c>
      <x:c r="O67" t="str">
        <x:v>N3answer.pdf p2</x:v>
      </x:c>
    </x:row>
    <x:row r="68" ht="25" customHeight="1">
      <x:c r="A68" s="2" t="str">
        <x:v>N3-L2</x:v>
      </x:c>
      <x:c r="B68" s="2" t="str">
        <x:v>N3</x:v>
      </x:c>
      <x:c r="C68" s="2" t="str">
        <x:v>Nghe</x:v>
      </x:c>
      <x:c r="D68" s="2" t="str">
        <x:v>M3-1</x:v>
      </x:c>
      <x:c r="E68" s="44" t="str">
        <x:v>Mở đề</x:v>
      </x:c>
      <x:c r="F68" s="39"/>
      <x:c r="G68" s="39"/>
      <x:c r="H68" s="39"/>
      <x:c r="I68" s="2"/>
      <x:c r="J68" s="40" t="str">
        <x:f>IF(AND(ISBLANK(F68),ISBLANK(G68),ISBLANK(H68)),"",IF(NOT(ISNUMBER(F68)),"Lỗi đáp án",IF(OR(F68&lt;0,F68&gt;K68,MOD(F68,1)&lt;&gt;0),"Lỗi đáp án",IF(AND(LEN(H68)&gt;0,COUNTIF('Nhật ký'!$I$63:$I$69,H68)=0),"Lỗi mã",IF(AND(F68=0,G68="Bỏ trống"),"Đã chấm",IF(AND(F68&gt;0,OR(G68="Đúng",G68="Sai")),"Đã chấm",IF(ISBLANK(G68),"Chưa chấm","Kiểm tra bỏ trống")))))))</x:f>
      </x:c>
      <x:c r="K68" s="40" t="n">
        <x:v>4</x:v>
      </x:c>
      <x:c r="M68" t="str">
        <x:v>N3-L2:M3-1</x:v>
      </x:c>
      <x:c r="N68" t="n">
        <x:v>3</x:v>
      </x:c>
      <x:c r="O68" t="str">
        <x:v>N3answer.pdf p2</x:v>
      </x:c>
    </x:row>
    <x:row r="69" ht="25" customHeight="1">
      <x:c r="A69" s="2" t="str">
        <x:v>N3-L2</x:v>
      </x:c>
      <x:c r="B69" s="2" t="str">
        <x:v>N3</x:v>
      </x:c>
      <x:c r="C69" s="2" t="str">
        <x:v>Nghe</x:v>
      </x:c>
      <x:c r="D69" s="2" t="str">
        <x:v>M3-2</x:v>
      </x:c>
      <x:c r="E69" s="44" t="str">
        <x:v>Mở đề</x:v>
      </x:c>
      <x:c r="F69" s="39"/>
      <x:c r="G69" s="39"/>
      <x:c r="H69" s="39"/>
      <x:c r="I69" s="2"/>
      <x:c r="J69" s="40" t="str">
        <x:f>IF(AND(ISBLANK(F69),ISBLANK(G69),ISBLANK(H69)),"",IF(NOT(ISNUMBER(F69)),"Lỗi đáp án",IF(OR(F69&lt;0,F69&gt;K69,MOD(F69,1)&lt;&gt;0),"Lỗi đáp án",IF(AND(LEN(H69)&gt;0,COUNTIF('Nhật ký'!$I$63:$I$69,H69)=0),"Lỗi mã",IF(AND(F69=0,G69="Bỏ trống"),"Đã chấm",IF(AND(F69&gt;0,OR(G69="Đúng",G69="Sai")),"Đã chấm",IF(ISBLANK(G69),"Chưa chấm","Kiểm tra bỏ trống")))))))</x:f>
      </x:c>
      <x:c r="K69" s="40" t="n">
        <x:v>4</x:v>
      </x:c>
      <x:c r="M69" t="str">
        <x:v>N3-L2:M3-2</x:v>
      </x:c>
      <x:c r="N69" t="n">
        <x:v>4</x:v>
      </x:c>
      <x:c r="O69" t="str">
        <x:v>N3answer.pdf p2</x:v>
      </x:c>
    </x:row>
    <x:row r="70" ht="25" customHeight="1">
      <x:c r="A70" s="2" t="str">
        <x:v>N3-L2</x:v>
      </x:c>
      <x:c r="B70" s="2" t="str">
        <x:v>N3</x:v>
      </x:c>
      <x:c r="C70" s="2" t="str">
        <x:v>Nghe</x:v>
      </x:c>
      <x:c r="D70" s="2" t="str">
        <x:v>M4-1</x:v>
      </x:c>
      <x:c r="E70" s="44" t="str">
        <x:v>Mở đề</x:v>
      </x:c>
      <x:c r="F70" s="39"/>
      <x:c r="G70" s="39"/>
      <x:c r="H70" s="39"/>
      <x:c r="I70" s="2"/>
      <x:c r="J70" s="40" t="str">
        <x:f>IF(AND(ISBLANK(F70),ISBLANK(G70),ISBLANK(H70)),"",IF(NOT(ISNUMBER(F70)),"Lỗi đáp án",IF(OR(F70&lt;0,F70&gt;K70,MOD(F70,1)&lt;&gt;0),"Lỗi đáp án",IF(AND(LEN(H70)&gt;0,COUNTIF('Nhật ký'!$I$63:$I$69,H70)=0),"Lỗi mã",IF(AND(F70=0,G70="Bỏ trống"),"Đã chấm",IF(AND(F70&gt;0,OR(G70="Đúng",G70="Sai")),"Đã chấm",IF(ISBLANK(G70),"Chưa chấm","Kiểm tra bỏ trống")))))))</x:f>
      </x:c>
      <x:c r="K70" s="40" t="n">
        <x:v>3</x:v>
      </x:c>
      <x:c r="M70" t="str">
        <x:v>N3-L2:M4-1</x:v>
      </x:c>
      <x:c r="N70" t="n">
        <x:v>1</x:v>
      </x:c>
      <x:c r="O70" t="str">
        <x:v>N3answer.pdf p2</x:v>
      </x:c>
    </x:row>
    <x:row r="71" ht="25" customHeight="1">
      <x:c r="A71" s="2" t="str">
        <x:v>N3-L2</x:v>
      </x:c>
      <x:c r="B71" s="2" t="str">
        <x:v>N3</x:v>
      </x:c>
      <x:c r="C71" s="2" t="str">
        <x:v>Nghe</x:v>
      </x:c>
      <x:c r="D71" s="2" t="str">
        <x:v>M4-2</x:v>
      </x:c>
      <x:c r="E71" s="44" t="str">
        <x:v>Mở đề</x:v>
      </x:c>
      <x:c r="F71" s="39"/>
      <x:c r="G71" s="39"/>
      <x:c r="H71" s="39"/>
      <x:c r="I71" s="2"/>
      <x:c r="J71" s="40" t="str">
        <x:f>IF(AND(ISBLANK(F71),ISBLANK(G71),ISBLANK(H71)),"",IF(NOT(ISNUMBER(F71)),"Lỗi đáp án",IF(OR(F71&lt;0,F71&gt;K71,MOD(F71,1)&lt;&gt;0),"Lỗi đáp án",IF(AND(LEN(H71)&gt;0,COUNTIF('Nhật ký'!$I$63:$I$69,H71)=0),"Lỗi mã",IF(AND(F71=0,G71="Bỏ trống"),"Đã chấm",IF(AND(F71&gt;0,OR(G71="Đúng",G71="Sai")),"Đã chấm",IF(ISBLANK(G71),"Chưa chấm","Kiểm tra bỏ trống")))))))</x:f>
      </x:c>
      <x:c r="K71" s="40" t="n">
        <x:v>3</x:v>
      </x:c>
      <x:c r="M71" t="str">
        <x:v>N3-L2:M4-2</x:v>
      </x:c>
      <x:c r="N71" t="n">
        <x:v>2</x:v>
      </x:c>
      <x:c r="O71" t="str">
        <x:v>N3answer.pdf p2</x:v>
      </x:c>
    </x:row>
    <x:row r="72" ht="25" customHeight="1">
      <x:c r="A72" s="2" t="str">
        <x:v>N3-L2</x:v>
      </x:c>
      <x:c r="B72" s="2" t="str">
        <x:v>N3</x:v>
      </x:c>
      <x:c r="C72" s="2" t="str">
        <x:v>Nghe</x:v>
      </x:c>
      <x:c r="D72" s="2" t="str">
        <x:v>M5-1</x:v>
      </x:c>
      <x:c r="E72" s="44" t="str">
        <x:v>Mở đề</x:v>
      </x:c>
      <x:c r="F72" s="39"/>
      <x:c r="G72" s="39"/>
      <x:c r="H72" s="39"/>
      <x:c r="I72" s="2"/>
      <x:c r="J72" s="40" t="str">
        <x:f>IF(AND(ISBLANK(F72),ISBLANK(G72),ISBLANK(H72)),"",IF(NOT(ISNUMBER(F72)),"Lỗi đáp án",IF(OR(F72&lt;0,F72&gt;K72,MOD(F72,1)&lt;&gt;0),"Lỗi đáp án",IF(AND(LEN(H72)&gt;0,COUNTIF('Nhật ký'!$I$63:$I$69,H72)=0),"Lỗi mã",IF(AND(F72=0,G72="Bỏ trống"),"Đã chấm",IF(AND(F72&gt;0,OR(G72="Đúng",G72="Sai")),"Đã chấm",IF(ISBLANK(G72),"Chưa chấm","Kiểm tra bỏ trống")))))))</x:f>
      </x:c>
      <x:c r="K72" s="40" t="n">
        <x:v>3</x:v>
      </x:c>
      <x:c r="M72" t="str">
        <x:v>N3-L2:M5-1</x:v>
      </x:c>
      <x:c r="N72" t="n">
        <x:v>1</x:v>
      </x:c>
      <x:c r="O72" t="str">
        <x:v>N3answer.pdf p2</x:v>
      </x:c>
    </x:row>
    <x:row r="73" ht="25" customHeight="1">
      <x:c r="A73" s="2" t="str">
        <x:v>N3-L2</x:v>
      </x:c>
      <x:c r="B73" s="2" t="str">
        <x:v>N3</x:v>
      </x:c>
      <x:c r="C73" s="2" t="str">
        <x:v>Nghe</x:v>
      </x:c>
      <x:c r="D73" s="2" t="str">
        <x:v>M5-2</x:v>
      </x:c>
      <x:c r="E73" s="44" t="str">
        <x:v>Mở đề</x:v>
      </x:c>
      <x:c r="F73" s="39"/>
      <x:c r="G73" s="39"/>
      <x:c r="H73" s="39"/>
      <x:c r="I73" s="44" t="str">
        <x:v>Ghi ngày/phút</x:v>
      </x:c>
      <x:c r="J73" s="40" t="str">
        <x:f>IF(AND(ISBLANK(F73),ISBLANK(G73),ISBLANK(H73)),"",IF(NOT(ISNUMBER(F73)),"Lỗi đáp án",IF(OR(F73&lt;0,F73&gt;K73,MOD(F73,1)&lt;&gt;0),"Lỗi đáp án",IF(AND(LEN(H73)&gt;0,COUNTIF('Nhật ký'!$I$63:$I$69,H73)=0),"Lỗi mã",IF(AND(F73=0,G73="Bỏ trống"),"Đã chấm",IF(AND(F73&gt;0,OR(G73="Đúng",G73="Sai")),"Đã chấm",IF(ISBLANK(G73),"Chưa chấm","Kiểm tra bỏ trống")))))))</x:f>
      </x:c>
      <x:c r="K73" s="40" t="n">
        <x:v>3</x:v>
      </x:c>
      <x:c r="M73" t="str">
        <x:v>N3-L2:M5-2</x:v>
      </x:c>
      <x:c r="N73" t="n">
        <x:v>3</x:v>
      </x:c>
      <x:c r="O73" t="str">
        <x:v>N3answer.pdf p2</x:v>
      </x:c>
    </x:row>
    <x:row r="74" ht="2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25" customHeight="1">
      <x:c r="A75" s="45" t="str">
        <x:v>Bảng chấm từng khối</x:v>
      </x:c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M75" t="str">
        <x:v>Source: Official Worldwide Japanese-Language Proficiency Test Website (https://www.jlpt.jp/)</x:v>
      </x:c>
    </x:row>
    <x:row r="76" ht="25" customHeight="1">
      <x:c r="A76" s="12" t="str">
        <x:v>H/I/J là ô nhập sau khi chấm. Mới chỉ khi chưa xem câu, chưa xem khóa/bản chép, không được gợi ý.</x:v>
      </x:c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M76" t="str">
        <x:v>N4answer.pdf và N3answer.pdf; JLPT Site Policy mục 1(1), kiểm 15/10/2026. Không tái bản nội dung đề/âm thanh.</x:v>
      </x:c>
    </x:row>
    <x:row r="77" ht="34" customHeight="1">
      <x:c r="A77" s="36" t="str">
        <x:v>Khối</x:v>
      </x:c>
      <x:c r="B77" s="37" t="str">
        <x:v>Cấp</x:v>
      </x:c>
      <x:c r="C77" s="37" t="str">
        <x:v>Kỹ năng</x:v>
      </x:c>
      <x:c r="D77" s="37" t="str">
        <x:v>Tổng câu</x:v>
      </x:c>
      <x:c r="E77" s="37" t="str">
        <x:v>Đã chấm</x:v>
      </x:c>
      <x:c r="F77" s="37" t="str">
        <x:v>Đúng</x:v>
      </x:c>
      <x:c r="G77" s="37" t="str">
        <x:v>Độ đúng</x:v>
      </x:c>
      <x:c r="H77" s="37" t="str">
        <x:v>Ngày thật</x:v>
      </x:c>
      <x:c r="I77" s="37" t="str">
        <x:v>Phút làm</x:v>
      </x:c>
      <x:c r="J77" s="37" t="str">
        <x:v>Loại câu</x:v>
      </x:c>
      <x:c r="K77" s="38" t="str">
        <x:v>Trạng thái</x:v>
      </x:c>
    </x:row>
    <x:row r="78" ht="25" customHeight="1">
      <x:c r="A78" s="2" t="str">
        <x:v>N4-G1</x:v>
      </x:c>
      <x:c r="B78" s="2" t="str">
        <x:v>N4</x:v>
      </x:c>
      <x:c r="C78" s="2" t="str">
        <x:v>Ngữ pháp</x:v>
      </x:c>
      <x:c r="D78" s="40" t="n">
        <x:v>6</x:v>
      </x:c>
      <x:c r="E78" s="40" t="n">
        <x:f>COUNTIF(J8:J13,"Đã chấm")</x:f>
        <x:v>0</x:v>
      </x:c>
      <x:c r="F78" s="40" t="str">
        <x:f>IF(E78=D78,COUNTIFS(G8:G13,"Đúng",J8:J13,"Đã chấm"),"")</x:f>
      </x:c>
      <x:c r="G78" s="47" t="str">
        <x:f>IF(K78="Đã chấm",F78/D78,"")</x:f>
      </x:c>
      <x:c r="H78" s="46"/>
      <x:c r="I78" s="39"/>
      <x:c r="J78" s="39"/>
      <x:c r="K78" s="40" t="str">
        <x:f>IF(E78&lt;D78,"Còn "&amp;(D78-E78)&amp;" câu chưa chấm",IF(OR(NOT(ISNUMBER(H78)),H78&lt;1),"Thiếu ngày",IF(OR(NOT(ISNUMBER(I78)),I78&lt;=0),"Thiếu phút",IF(AND(J78&lt;&gt;"Mới",J78&lt;&gt;"Ôn lại"),"Chọn loại câu","Đã chấm"))))</x:f>
        <x:v>Còn 6 câu chưa chấm</x:v>
      </x:c>
    </x:row>
    <x:row r="79" ht="25" customHeight="1">
      <x:c r="A79" s="2" t="str">
        <x:v>N4-G2</x:v>
      </x:c>
      <x:c r="B79" s="2" t="str">
        <x:v>N4</x:v>
      </x:c>
      <x:c r="C79" s="2" t="str">
        <x:v>Ngữ pháp</x:v>
      </x:c>
      <x:c r="D79" s="40" t="n">
        <x:v>7</x:v>
      </x:c>
      <x:c r="E79" s="40" t="n">
        <x:f>COUNTIF(J14:J20,"Đã chấm")</x:f>
        <x:v>0</x:v>
      </x:c>
      <x:c r="F79" s="40" t="str">
        <x:f>IF(E79=D79,COUNTIFS(G14:G20,"Đúng",J14:J20,"Đã chấm"),"")</x:f>
      </x:c>
      <x:c r="G79" s="47" t="str">
        <x:f>IF(K79="Đã chấm",F79/D79,"")</x:f>
      </x:c>
      <x:c r="H79" s="46"/>
      <x:c r="I79" s="39"/>
      <x:c r="J79" s="39"/>
      <x:c r="K79" s="40" t="str">
        <x:f>IF(E79&lt;D79,"Còn "&amp;(D79-E79)&amp;" câu chưa chấm",IF(OR(NOT(ISNUMBER(H79)),H79&lt;1),"Thiếu ngày",IF(OR(NOT(ISNUMBER(I79)),I79&lt;=0),"Thiếu phút",IF(AND(J79&lt;&gt;"Mới",J79&lt;&gt;"Ôn lại"),"Chọn loại câu","Đã chấm"))))</x:f>
        <x:v>Còn 7 câu chưa chấm</x:v>
      </x:c>
    </x:row>
    <x:row r="80" ht="25" customHeight="1">
      <x:c r="A80" s="2" t="str">
        <x:v>N4-V</x:v>
      </x:c>
      <x:c r="B80" s="2" t="str">
        <x:v>N4</x:v>
      </x:c>
      <x:c r="C80" s="2" t="str">
        <x:v>Từ và kanji</x:v>
      </x:c>
      <x:c r="D80" s="40" t="n">
        <x:v>10</x:v>
      </x:c>
      <x:c r="E80" s="40" t="n">
        <x:f>COUNTIF(J21:J30,"Đã chấm")</x:f>
        <x:v>0</x:v>
      </x:c>
      <x:c r="F80" s="40" t="str">
        <x:f>IF(E80=D80,COUNTIFS(G21:G30,"Đúng",J21:J30,"Đã chấm"),"")</x:f>
      </x:c>
      <x:c r="G80" s="47" t="str">
        <x:f>IF(K80="Đã chấm",F80/D80,"")</x:f>
      </x:c>
      <x:c r="H80" s="46"/>
      <x:c r="I80" s="39"/>
      <x:c r="J80" s="39"/>
      <x:c r="K80" s="40" t="str">
        <x:f>IF(E80&lt;D80,"Còn "&amp;(D80-E80)&amp;" câu chưa chấm",IF(OR(NOT(ISNUMBER(H80)),H80&lt;1),"Thiếu ngày",IF(OR(NOT(ISNUMBER(I80)),I80&lt;=0),"Thiếu phút",IF(AND(J80&lt;&gt;"Mới",J80&lt;&gt;"Ôn lại"),"Chọn loại câu","Đã chấm"))))</x:f>
        <x:v>Còn 10 câu chưa chấm</x:v>
      </x:c>
    </x:row>
    <x:row r="81" ht="25" customHeight="1">
      <x:c r="A81" s="2" t="str">
        <x:v>N4-R</x:v>
      </x:c>
      <x:c r="B81" s="2" t="str">
        <x:v>N4</x:v>
      </x:c>
      <x:c r="C81" s="2" t="str">
        <x:v>Đọc</x:v>
      </x:c>
      <x:c r="D81" s="40" t="n">
        <x:v>5</x:v>
      </x:c>
      <x:c r="E81" s="40" t="n">
        <x:f>COUNTIF(J31:J35,"Đã chấm")</x:f>
        <x:v>0</x:v>
      </x:c>
      <x:c r="F81" s="40" t="str">
        <x:f>IF(E81=D81,COUNTIFS(G31:G35,"Đúng",J31:J35,"Đã chấm"),"")</x:f>
      </x:c>
      <x:c r="G81" s="47" t="str">
        <x:f>IF(K81="Đã chấm",F81/D81,"")</x:f>
      </x:c>
      <x:c r="H81" s="46"/>
      <x:c r="I81" s="39"/>
      <x:c r="J81" s="39"/>
      <x:c r="K81" s="40" t="str">
        <x:f>IF(E81&lt;D81,"Còn "&amp;(D81-E81)&amp;" câu chưa chấm",IF(OR(NOT(ISNUMBER(H81)),H81&lt;1),"Thiếu ngày",IF(OR(NOT(ISNUMBER(I81)),I81&lt;=0),"Thiếu phút",IF(AND(J81&lt;&gt;"Mới",J81&lt;&gt;"Ôn lại"),"Chọn loại câu","Đã chấm"))))</x:f>
        <x:v>Còn 5 câu chưa chấm</x:v>
      </x:c>
    </x:row>
    <x:row r="82" ht="25" customHeight="1">
      <x:c r="A82" s="2" t="str">
        <x:v>N4-L1</x:v>
      </x:c>
      <x:c r="B82" s="2" t="str">
        <x:v>N4</x:v>
      </x:c>
      <x:c r="C82" s="2" t="str">
        <x:v>Nghe</x:v>
      </x:c>
      <x:c r="D82" s="40" t="n">
        <x:v>4</x:v>
      </x:c>
      <x:c r="E82" s="40" t="n">
        <x:f>COUNTIF(J36:J39,"Đã chấm")</x:f>
        <x:v>0</x:v>
      </x:c>
      <x:c r="F82" s="40" t="str">
        <x:f>IF(E82=D82,COUNTIFS(G36:G39,"Đúng",J36:J39,"Đã chấm"),"")</x:f>
      </x:c>
      <x:c r="G82" s="47" t="str">
        <x:f>IF(K82="Đã chấm",F82/D82,"")</x:f>
      </x:c>
      <x:c r="H82" s="46"/>
      <x:c r="I82" s="39"/>
      <x:c r="J82" s="39"/>
      <x:c r="K82" s="40" t="str">
        <x:f>IF(E82&lt;D82,"Còn "&amp;(D82-E82)&amp;" câu chưa chấm",IF(OR(NOT(ISNUMBER(H82)),H82&lt;1),"Thiếu ngày",IF(OR(NOT(ISNUMBER(I82)),I82&lt;=0),"Thiếu phút",IF(AND(J82&lt;&gt;"Mới",J82&lt;&gt;"Ôn lại"),"Chọn loại câu","Đã chấm"))))</x:f>
        <x:v>Còn 4 câu chưa chấm</x:v>
      </x:c>
    </x:row>
    <x:row r="83" ht="25" customHeight="1">
      <x:c r="A83" s="2" t="str">
        <x:v>N4-L2</x:v>
      </x:c>
      <x:c r="B83" s="2" t="str">
        <x:v>N4</x:v>
      </x:c>
      <x:c r="C83" s="2" t="str">
        <x:v>Nghe</x:v>
      </x:c>
      <x:c r="D83" s="40" t="n">
        <x:v>4</x:v>
      </x:c>
      <x:c r="E83" s="40" t="n">
        <x:f>COUNTIF(J40:J43,"Đã chấm")</x:f>
        <x:v>0</x:v>
      </x:c>
      <x:c r="F83" s="40" t="str">
        <x:f>IF(E83=D83,COUNTIFS(G40:G43,"Đúng",J40:J43,"Đã chấm"),"")</x:f>
      </x:c>
      <x:c r="G83" s="47" t="str">
        <x:f>IF(K83="Đã chấm",F83/D83,"")</x:f>
      </x:c>
      <x:c r="H83" s="46"/>
      <x:c r="I83" s="39"/>
      <x:c r="J83" s="39"/>
      <x:c r="K83" s="40" t="str">
        <x:f>IF(E83&lt;D83,"Còn "&amp;(D83-E83)&amp;" câu chưa chấm",IF(OR(NOT(ISNUMBER(H83)),H83&lt;1),"Thiếu ngày",IF(OR(NOT(ISNUMBER(I83)),I83&lt;=0),"Thiếu phút",IF(AND(J83&lt;&gt;"Mới",J83&lt;&gt;"Ôn lại"),"Chọn loại câu","Đã chấm"))))</x:f>
        <x:v>Còn 4 câu chưa chấm</x:v>
      </x:c>
    </x:row>
    <x:row r="84" ht="25" customHeight="1">
      <x:c r="A84" s="2" t="str">
        <x:v>N3-G</x:v>
      </x:c>
      <x:c r="B84" s="2" t="str">
        <x:v>N3</x:v>
      </x:c>
      <x:c r="C84" s="2" t="str">
        <x:v>Ngữ pháp</x:v>
      </x:c>
      <x:c r="D84" s="40" t="n">
        <x:v>6</x:v>
      </x:c>
      <x:c r="E84" s="40" t="n">
        <x:f>COUNTIF(J44:J49,"Đã chấm")</x:f>
        <x:v>0</x:v>
      </x:c>
      <x:c r="F84" s="40" t="str">
        <x:f>IF(E84=D84,COUNTIFS(G44:G49,"Đúng",J44:J49,"Đã chấm"),"")</x:f>
      </x:c>
      <x:c r="G84" s="47" t="str">
        <x:f>IF(K84="Đã chấm",F84/D84,"")</x:f>
      </x:c>
      <x:c r="H84" s="46"/>
      <x:c r="I84" s="39"/>
      <x:c r="J84" s="39"/>
      <x:c r="K84" s="40" t="str">
        <x:f>IF(E84&lt;D84,"Còn "&amp;(D84-E84)&amp;" câu chưa chấm",IF(OR(NOT(ISNUMBER(H84)),H84&lt;1),"Thiếu ngày",IF(OR(NOT(ISNUMBER(I84)),I84&lt;=0),"Thiếu phút",IF(AND(J84&lt;&gt;"Mới",J84&lt;&gt;"Ôn lại"),"Chọn loại câu","Đã chấm"))))</x:f>
        <x:v>Còn 6 câu chưa chấm</x:v>
      </x:c>
    </x:row>
    <x:row r="85" ht="25" customHeight="1">
      <x:c r="A85" s="2" t="str">
        <x:v>N3-V</x:v>
      </x:c>
      <x:c r="B85" s="2" t="str">
        <x:v>N3</x:v>
      </x:c>
      <x:c r="C85" s="2" t="str">
        <x:v>Từ và kanji</x:v>
      </x:c>
      <x:c r="D85" s="40" t="n">
        <x:v>10</x:v>
      </x:c>
      <x:c r="E85" s="40" t="n">
        <x:f>COUNTIF(J50:J59,"Đã chấm")</x:f>
        <x:v>0</x:v>
      </x:c>
      <x:c r="F85" s="40" t="str">
        <x:f>IF(E85=D85,COUNTIFS(G50:G59,"Đúng",J50:J59,"Đã chấm"),"")</x:f>
      </x:c>
      <x:c r="G85" s="47" t="str">
        <x:f>IF(K85="Đã chấm",F85/D85,"")</x:f>
      </x:c>
      <x:c r="H85" s="46"/>
      <x:c r="I85" s="39"/>
      <x:c r="J85" s="39"/>
      <x:c r="K85" s="40" t="str">
        <x:f>IF(E85&lt;D85,"Còn "&amp;(D85-E85)&amp;" câu chưa chấm",IF(OR(NOT(ISNUMBER(H85)),H85&lt;1),"Thiếu ngày",IF(OR(NOT(ISNUMBER(I85)),I85&lt;=0),"Thiếu phút",IF(AND(J85&lt;&gt;"Mới",J85&lt;&gt;"Ôn lại"),"Chọn loại câu","Đã chấm"))))</x:f>
        <x:v>Còn 10 câu chưa chấm</x:v>
      </x:c>
    </x:row>
    <x:row r="86" ht="25" customHeight="1">
      <x:c r="A86" s="2" t="str">
        <x:v>N3-R</x:v>
      </x:c>
      <x:c r="B86" s="2" t="str">
        <x:v>N3</x:v>
      </x:c>
      <x:c r="C86" s="2" t="str">
        <x:v>Đọc</x:v>
      </x:c>
      <x:c r="D86" s="40" t="n">
        <x:v>4</x:v>
      </x:c>
      <x:c r="E86" s="40" t="n">
        <x:f>COUNTIF(J60:J63,"Đã chấm")</x:f>
        <x:v>0</x:v>
      </x:c>
      <x:c r="F86" s="40" t="str">
        <x:f>IF(E86=D86,COUNTIFS(G60:G63,"Đúng",J60:J63,"Đã chấm"),"")</x:f>
      </x:c>
      <x:c r="G86" s="47" t="str">
        <x:f>IF(K86="Đã chấm",F86/D86,"")</x:f>
      </x:c>
      <x:c r="H86" s="46"/>
      <x:c r="I86" s="39"/>
      <x:c r="J86" s="39"/>
      <x:c r="K86" s="40" t="str">
        <x:f>IF(E86&lt;D86,"Còn "&amp;(D86-E86)&amp;" câu chưa chấm",IF(OR(NOT(ISNUMBER(H86)),H86&lt;1),"Thiếu ngày",IF(OR(NOT(ISNUMBER(I86)),I86&lt;=0),"Thiếu phút",IF(AND(J86&lt;&gt;"Mới",J86&lt;&gt;"Ôn lại"),"Chọn loại câu","Đã chấm"))))</x:f>
        <x:v>Còn 4 câu chưa chấm</x:v>
      </x:c>
    </x:row>
    <x:row r="87" ht="25" customHeight="1">
      <x:c r="A87" s="2" t="str">
        <x:v>N3-L1</x:v>
      </x:c>
      <x:c r="B87" s="2" t="str">
        <x:v>N3</x:v>
      </x:c>
      <x:c r="C87" s="2" t="str">
        <x:v>Nghe</x:v>
      </x:c>
      <x:c r="D87" s="40" t="n">
        <x:v>4</x:v>
      </x:c>
      <x:c r="E87" s="40" t="n">
        <x:f>COUNTIF(J64:J67,"Đã chấm")</x:f>
        <x:v>0</x:v>
      </x:c>
      <x:c r="F87" s="40" t="str">
        <x:f>IF(E87=D87,COUNTIFS(G64:G67,"Đúng",J64:J67,"Đã chấm"),"")</x:f>
      </x:c>
      <x:c r="G87" s="47" t="str">
        <x:f>IF(K87="Đã chấm",F87/D87,"")</x:f>
      </x:c>
      <x:c r="H87" s="46"/>
      <x:c r="I87" s="39"/>
      <x:c r="J87" s="39"/>
      <x:c r="K87" s="40" t="str">
        <x:f>IF(E87&lt;D87,"Còn "&amp;(D87-E87)&amp;" câu chưa chấm",IF(OR(NOT(ISNUMBER(H87)),H87&lt;1),"Thiếu ngày",IF(OR(NOT(ISNUMBER(I87)),I87&lt;=0),"Thiếu phút",IF(AND(J87&lt;&gt;"Mới",J87&lt;&gt;"Ôn lại"),"Chọn loại câu","Đã chấm"))))</x:f>
        <x:v>Còn 4 câu chưa chấm</x:v>
      </x:c>
    </x:row>
    <x:row r="88" ht="25" customHeight="1">
      <x:c r="A88" s="2" t="str">
        <x:v>N3-L2</x:v>
      </x:c>
      <x:c r="B88" s="2" t="str">
        <x:v>N3</x:v>
      </x:c>
      <x:c r="C88" s="2" t="str">
        <x:v>Nghe</x:v>
      </x:c>
      <x:c r="D88" s="40" t="n">
        <x:v>6</x:v>
      </x:c>
      <x:c r="E88" s="40" t="n">
        <x:f>COUNTIF(J68:J73,"Đã chấm")</x:f>
        <x:v>0</x:v>
      </x:c>
      <x:c r="F88" s="40" t="str">
        <x:f>IF(E88=D88,COUNTIFS(G68:G73,"Đúng",J68:J73,"Đã chấm"),"")</x:f>
      </x:c>
      <x:c r="G88" s="47" t="str">
        <x:f>IF(K88="Đã chấm",F88/D88,"")</x:f>
      </x:c>
      <x:c r="H88" s="46"/>
      <x:c r="I88" s="39"/>
      <x:c r="J88" s="39"/>
      <x:c r="K88" s="40" t="str">
        <x:f>IF(E88&lt;D88,"Còn "&amp;(D88-E88)&amp;" câu chưa chấm",IF(OR(NOT(ISNUMBER(H88)),H88&lt;1),"Thiếu ngày",IF(OR(NOT(ISNUMBER(I88)),I88&lt;=0),"Thiếu phút",IF(AND(J88&lt;&gt;"Mới",J88&lt;&gt;"Ôn lại"),"Chọn loại câu","Đã chấm"))))</x:f>
        <x:v>Còn 6 câu chưa chấm</x:v>
      </x:c>
    </x:row>
    <x:row r="89" ht="2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 ht="2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</x:sheetData>
  <x:conditionalFormatting sqref="J8:J73">
    <x:cfRule type="expression" dxfId="6" priority="1">
      <x:formula>AND(J8&lt;&gt;"",J8&lt;&gt;"Đã chấm",J8&lt;&gt;"Chưa chấm")</x:formula>
    </x:cfRule>
  </x:conditionalFormatting>
  <x:dataValidations count="9">
    <x:dataValidation type="list" errorStyle="stop" allowBlank="1" showErrorMessage="1" errorTitle="Giá trị chưa hợp lệ" error="Nhập đúng phạm vi; 0 là bỏ câu, trống là chưa làm." sqref="G8:G73">
      <x:formula1>"Đúng,Sai,Bỏ trống"</x:formula1>
    </x:dataValidation>
    <x:dataValidation type="list" errorStyle="stop" allowBlank="1" showErrorMessage="1" errorTitle="Giá trị chưa hợp lệ" error="Nhập đúng phạm vi; 0 là bỏ câu, trống là chưa làm." sqref="H8:H73">
      <x:formula1>"V,G,R,A,M,T,F"</x:formula1>
    </x:dataValidation>
    <x:dataValidation type="whole" errorStyle="stop" operator="between" allowBlank="1" showErrorMessage="1" errorTitle="Giá trị chưa hợp lệ" error="Nhập đúng phạm vi; 0 là bỏ câu, trống là chưa làm." sqref="F8:F39">
      <x:formula1>0</x:formula1>
      <x:formula2>4</x:formula2>
    </x:dataValidation>
    <x:dataValidation type="whole" errorStyle="stop" operator="between" allowBlank="1" showErrorMessage="1" errorTitle="Giá trị chưa hợp lệ" error="Nhập đúng phạm vi; 0 là bỏ câu, trống là chưa làm." sqref="F40:F43">
      <x:formula1>0</x:formula1>
      <x:formula2>3</x:formula2>
    </x:dataValidation>
    <x:dataValidation type="whole" errorStyle="stop" operator="between" allowBlank="1" showErrorMessage="1" errorTitle="Giá trị chưa hợp lệ" error="Nhập đúng phạm vi; 0 là bỏ câu, trống là chưa làm." sqref="F44:F69">
      <x:formula1>0</x:formula1>
      <x:formula2>4</x:formula2>
    </x:dataValidation>
    <x:dataValidation type="whole" errorStyle="stop" operator="between" allowBlank="1" showErrorMessage="1" errorTitle="Giá trị chưa hợp lệ" error="Nhập đúng phạm vi; 0 là bỏ câu, trống là chưa làm." sqref="F70:F73">
      <x:formula1>0</x:formula1>
      <x:formula2>3</x:formula2>
    </x:dataValidation>
    <x:dataValidation type="list" errorStyle="stop" allowBlank="1" showErrorMessage="1" errorTitle="Giá trị chưa hợp lệ" error="Nhập đúng phạm vi; 0 là bỏ câu, trống là chưa làm." sqref="J78:J88">
      <x:formula1>"Mới,Ôn lại"</x:formula1>
    </x:dataValidation>
    <x:dataValidation type="whole" errorStyle="stop" operator="between" allowBlank="1" showErrorMessage="1" errorTitle="Giá trị chưa hợp lệ" error="Nhập đúng phạm vi; 0 là bỏ câu, trống là chưa làm." sqref="H78:H88">
      <x:formula1>1</x:formula1>
      <x:formula2>2958465</x:formula2>
    </x:dataValidation>
    <x:dataValidation type="decimal" errorStyle="stop" operator="between" allowBlank="1" showErrorMessage="1" errorTitle="Giá trị chưa hợp lệ" error="Nhập đúng phạm vi; 0 là bỏ câu, trống là chưa làm." sqref="I78:I88">
      <x:formula1>0.01</x:formula1>
      <x:formula2>180</x:formula2>
    </x:dataValidation>
  </x:dataValidations>
  <x:hyperlinks>
    <x:hyperlink xmlns:ns0="http://schemas.openxmlformats.org/officeDocument/2006/relationships" ref="E8" display="Mở đề" ns0:id="rIdV31"/>
    <x:hyperlink xmlns:ns1="http://schemas.openxmlformats.org/officeDocument/2006/relationships" ref="E9" display="Mở đề" ns1:id="rIdV32"/>
    <x:hyperlink xmlns:ns2="http://schemas.openxmlformats.org/officeDocument/2006/relationships" ref="E10" display="Mở đề" ns2:id="rIdV33"/>
    <x:hyperlink xmlns:ns3="http://schemas.openxmlformats.org/officeDocument/2006/relationships" ref="E11" display="Mở đề" ns3:id="rIdV34"/>
    <x:hyperlink xmlns:ns4="http://schemas.openxmlformats.org/officeDocument/2006/relationships" ref="E12" display="Mở đề" ns4:id="rIdV35"/>
    <x:hyperlink xmlns:ns5="http://schemas.openxmlformats.org/officeDocument/2006/relationships" ref="E13" display="Mở đề" ns5:id="rIdV36"/>
    <x:hyperlink ref="I13" display="Ghi ngày/phút" location="'Chẩn đoán'!H78"/>
    <x:hyperlink xmlns:ns6="http://schemas.openxmlformats.org/officeDocument/2006/relationships" ref="E14" display="Mở đề" ns6:id="rIdV37"/>
    <x:hyperlink xmlns:ns7="http://schemas.openxmlformats.org/officeDocument/2006/relationships" ref="E15" display="Mở đề" ns7:id="rIdV38"/>
    <x:hyperlink xmlns:ns8="http://schemas.openxmlformats.org/officeDocument/2006/relationships" ref="E16" display="Mở đề" ns8:id="rIdV39"/>
    <x:hyperlink xmlns:ns9="http://schemas.openxmlformats.org/officeDocument/2006/relationships" ref="E17" display="Mở đề" ns9:id="rIdV310"/>
    <x:hyperlink xmlns:ns10="http://schemas.openxmlformats.org/officeDocument/2006/relationships" ref="E18" display="Mở đề" ns10:id="rIdV311"/>
    <x:hyperlink xmlns:ns11="http://schemas.openxmlformats.org/officeDocument/2006/relationships" ref="E19" display="Mở đề" ns11:id="rIdV312"/>
    <x:hyperlink xmlns:ns12="http://schemas.openxmlformats.org/officeDocument/2006/relationships" ref="E20" display="Mở đề" ns12:id="rIdV313"/>
    <x:hyperlink ref="I20" display="Ghi ngày/phút" location="'Chẩn đoán'!H79"/>
    <x:hyperlink xmlns:ns13="http://schemas.openxmlformats.org/officeDocument/2006/relationships" ref="E21" display="Mở đề" ns13:id="rIdV314"/>
    <x:hyperlink xmlns:ns14="http://schemas.openxmlformats.org/officeDocument/2006/relationships" ref="E22" display="Mở đề" ns14:id="rIdV315"/>
    <x:hyperlink xmlns:ns15="http://schemas.openxmlformats.org/officeDocument/2006/relationships" ref="E23" display="Mở đề" ns15:id="rIdV316"/>
    <x:hyperlink xmlns:ns16="http://schemas.openxmlformats.org/officeDocument/2006/relationships" ref="E24" display="Mở đề" ns16:id="rIdV317"/>
    <x:hyperlink xmlns:ns17="http://schemas.openxmlformats.org/officeDocument/2006/relationships" ref="E25" display="Mở đề" ns17:id="rIdV318"/>
    <x:hyperlink xmlns:ns18="http://schemas.openxmlformats.org/officeDocument/2006/relationships" ref="E26" display="Mở đề" ns18:id="rIdV319"/>
    <x:hyperlink xmlns:ns19="http://schemas.openxmlformats.org/officeDocument/2006/relationships" ref="E27" display="Mở đề" ns19:id="rIdV320"/>
    <x:hyperlink xmlns:ns20="http://schemas.openxmlformats.org/officeDocument/2006/relationships" ref="E28" display="Mở đề" ns20:id="rIdV321"/>
    <x:hyperlink xmlns:ns21="http://schemas.openxmlformats.org/officeDocument/2006/relationships" ref="E29" display="Mở đề" ns21:id="rIdV322"/>
    <x:hyperlink xmlns:ns22="http://schemas.openxmlformats.org/officeDocument/2006/relationships" ref="E30" display="Mở đề" ns22:id="rIdV323"/>
    <x:hyperlink ref="I30" display="Ghi ngày/phút" location="'Chẩn đoán'!H80"/>
    <x:hyperlink xmlns:ns23="http://schemas.openxmlformats.org/officeDocument/2006/relationships" ref="E31" display="Mở đề" ns23:id="rIdV324"/>
    <x:hyperlink xmlns:ns24="http://schemas.openxmlformats.org/officeDocument/2006/relationships" ref="E32" display="Mở đề" ns24:id="rIdV325"/>
    <x:hyperlink xmlns:ns25="http://schemas.openxmlformats.org/officeDocument/2006/relationships" ref="E33" display="Mở đề" ns25:id="rIdV326"/>
    <x:hyperlink xmlns:ns26="http://schemas.openxmlformats.org/officeDocument/2006/relationships" ref="E34" display="Mở đề" ns26:id="rIdV327"/>
    <x:hyperlink xmlns:ns27="http://schemas.openxmlformats.org/officeDocument/2006/relationships" ref="E35" display="Mở đề" ns27:id="rIdV328"/>
    <x:hyperlink ref="I35" display="Ghi ngày/phút" location="'Chẩn đoán'!H81"/>
    <x:hyperlink xmlns:ns28="http://schemas.openxmlformats.org/officeDocument/2006/relationships" ref="E36" display="Mở đề" ns28:id="rIdV329"/>
    <x:hyperlink xmlns:ns29="http://schemas.openxmlformats.org/officeDocument/2006/relationships" ref="E37" display="Mở đề" ns29:id="rIdV330"/>
    <x:hyperlink xmlns:ns30="http://schemas.openxmlformats.org/officeDocument/2006/relationships" ref="E38" display="Mở đề" ns30:id="rIdV331"/>
    <x:hyperlink xmlns:ns31="http://schemas.openxmlformats.org/officeDocument/2006/relationships" ref="E39" display="Mở đề" ns31:id="rIdV332"/>
    <x:hyperlink ref="I39" display="Ghi ngày/phút" location="'Chẩn đoán'!H82"/>
    <x:hyperlink xmlns:ns32="http://schemas.openxmlformats.org/officeDocument/2006/relationships" ref="E40" display="Mở đề" ns32:id="rIdV333"/>
    <x:hyperlink xmlns:ns33="http://schemas.openxmlformats.org/officeDocument/2006/relationships" ref="E41" display="Mở đề" ns33:id="rIdV334"/>
    <x:hyperlink xmlns:ns34="http://schemas.openxmlformats.org/officeDocument/2006/relationships" ref="E42" display="Mở đề" ns34:id="rIdV335"/>
    <x:hyperlink xmlns:ns35="http://schemas.openxmlformats.org/officeDocument/2006/relationships" ref="E43" display="Mở đề" ns35:id="rIdV336"/>
    <x:hyperlink ref="I43" display="Ghi ngày/phút" location="'Chẩn đoán'!H83"/>
    <x:hyperlink xmlns:ns36="http://schemas.openxmlformats.org/officeDocument/2006/relationships" ref="E44" display="Mở đề" ns36:id="rIdV337"/>
    <x:hyperlink xmlns:ns37="http://schemas.openxmlformats.org/officeDocument/2006/relationships" ref="E45" display="Mở đề" ns37:id="rIdV338"/>
    <x:hyperlink xmlns:ns38="http://schemas.openxmlformats.org/officeDocument/2006/relationships" ref="E46" display="Mở đề" ns38:id="rIdV339"/>
    <x:hyperlink xmlns:ns39="http://schemas.openxmlformats.org/officeDocument/2006/relationships" ref="E47" display="Mở đề" ns39:id="rIdV340"/>
    <x:hyperlink xmlns:ns40="http://schemas.openxmlformats.org/officeDocument/2006/relationships" ref="E48" display="Mở đề" ns40:id="rIdV341"/>
    <x:hyperlink xmlns:ns41="http://schemas.openxmlformats.org/officeDocument/2006/relationships" ref="E49" display="Mở đề" ns41:id="rIdV342"/>
    <x:hyperlink ref="I49" display="Ghi ngày/phút" location="'Chẩn đoán'!H84"/>
    <x:hyperlink xmlns:ns42="http://schemas.openxmlformats.org/officeDocument/2006/relationships" ref="E50" display="Mở đề" ns42:id="rIdV343"/>
    <x:hyperlink xmlns:ns43="http://schemas.openxmlformats.org/officeDocument/2006/relationships" ref="E51" display="Mở đề" ns43:id="rIdV344"/>
    <x:hyperlink xmlns:ns44="http://schemas.openxmlformats.org/officeDocument/2006/relationships" ref="E52" display="Mở đề" ns44:id="rIdV345"/>
    <x:hyperlink xmlns:ns45="http://schemas.openxmlformats.org/officeDocument/2006/relationships" ref="E53" display="Mở đề" ns45:id="rIdV346"/>
    <x:hyperlink xmlns:ns46="http://schemas.openxmlformats.org/officeDocument/2006/relationships" ref="E54" display="Mở đề" ns46:id="rIdV347"/>
    <x:hyperlink xmlns:ns47="http://schemas.openxmlformats.org/officeDocument/2006/relationships" ref="E55" display="Mở đề" ns47:id="rIdV348"/>
    <x:hyperlink xmlns:ns48="http://schemas.openxmlformats.org/officeDocument/2006/relationships" ref="E56" display="Mở đề" ns48:id="rIdV349"/>
    <x:hyperlink xmlns:ns49="http://schemas.openxmlformats.org/officeDocument/2006/relationships" ref="E57" display="Mở đề" ns49:id="rIdV350"/>
    <x:hyperlink xmlns:ns50="http://schemas.openxmlformats.org/officeDocument/2006/relationships" ref="E58" display="Mở đề" ns50:id="rIdV351"/>
    <x:hyperlink xmlns:ns51="http://schemas.openxmlformats.org/officeDocument/2006/relationships" ref="E59" display="Mở đề" ns51:id="rIdV352"/>
    <x:hyperlink ref="I59" display="Ghi ngày/phút" location="'Chẩn đoán'!H85"/>
    <x:hyperlink xmlns:ns52="http://schemas.openxmlformats.org/officeDocument/2006/relationships" ref="E60" display="Mở đề" ns52:id="rIdV353"/>
    <x:hyperlink xmlns:ns53="http://schemas.openxmlformats.org/officeDocument/2006/relationships" ref="E61" display="Mở đề" ns53:id="rIdV354"/>
    <x:hyperlink xmlns:ns54="http://schemas.openxmlformats.org/officeDocument/2006/relationships" ref="E62" display="Mở đề" ns54:id="rIdV355"/>
    <x:hyperlink xmlns:ns55="http://schemas.openxmlformats.org/officeDocument/2006/relationships" ref="E63" display="Mở đề" ns55:id="rIdV356"/>
    <x:hyperlink ref="I63" display="Ghi ngày/phút" location="'Chẩn đoán'!H86"/>
    <x:hyperlink xmlns:ns56="http://schemas.openxmlformats.org/officeDocument/2006/relationships" ref="E64" display="Mở đề" ns56:id="rIdV357"/>
    <x:hyperlink xmlns:ns57="http://schemas.openxmlformats.org/officeDocument/2006/relationships" ref="E65" display="Mở đề" ns57:id="rIdV358"/>
    <x:hyperlink xmlns:ns58="http://schemas.openxmlformats.org/officeDocument/2006/relationships" ref="E66" display="Mở đề" ns58:id="rIdV359"/>
    <x:hyperlink xmlns:ns59="http://schemas.openxmlformats.org/officeDocument/2006/relationships" ref="E67" display="Mở đề" ns59:id="rIdV360"/>
    <x:hyperlink ref="I67" display="Ghi ngày/phút" location="'Chẩn đoán'!H87"/>
    <x:hyperlink xmlns:ns60="http://schemas.openxmlformats.org/officeDocument/2006/relationships" ref="E68" display="Mở đề" ns60:id="rIdV361"/>
    <x:hyperlink xmlns:ns61="http://schemas.openxmlformats.org/officeDocument/2006/relationships" ref="E69" display="Mở đề" ns61:id="rIdV362"/>
    <x:hyperlink xmlns:ns62="http://schemas.openxmlformats.org/officeDocument/2006/relationships" ref="E70" display="Mở đề" ns62:id="rIdV363"/>
    <x:hyperlink xmlns:ns63="http://schemas.openxmlformats.org/officeDocument/2006/relationships" ref="E71" display="Mở đề" ns63:id="rIdV364"/>
    <x:hyperlink xmlns:ns64="http://schemas.openxmlformats.org/officeDocument/2006/relationships" ref="E72" display="Mở đề" ns64:id="rIdV365"/>
    <x:hyperlink xmlns:ns65="http://schemas.openxmlformats.org/officeDocument/2006/relationships" ref="E73" display="Mở đề" ns65:id="rIdV366"/>
    <x:hyperlink ref="I73" display="Ghi ngày/phút" location="'Chẩn đoán'!H88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4C62"/>
  </x:sheetPr>
  <x:sheetViews>
    <x:sheetView showGridLines="0" workbookViewId="0" tabSelected="1" topLeftCell="A1" zoomScale="90">
      <x:selection activeCell="B13" sqref="B13"/>
    </x:sheetView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5" hidden="0" customWidth="1"/>
    <x:col min="9" max="25" hidden="1" width="14" customWidth="1"/>
  </x:cols>
  <x:sheetData>
    <x:row r="1" ht="28" customHeight="1">
      <x:c r="A1" s="56"/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</x:row>
    <x:row r="2" ht="28" customHeight="1">
      <x:c r="A2" s="57" t="str">
        <x:v>Làm một khối rồi dừng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6"/>
      <x:c r="N2" s="56"/>
      <x:c r="O2" s="56"/>
      <x:c r="P2" s="56"/>
      <x:c r="Q2" s="56"/>
      <x:c r="R2" s="56"/>
      <x:c r="S2" s="56"/>
      <x:c r="T2" s="56"/>
      <x:c r="U2" s="56"/>
      <x:c r="V2" s="56"/>
      <x:c r="W2" s="56"/>
      <x:c r="X2" s="56"/>
      <x:c r="Y2" s="56"/>
    </x:row>
    <x:row r="3" ht="28" customHeight="1">
      <x:c r="A3" s="56"/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  <x:c r="M3" s="56"/>
      <x:c r="N3" s="56"/>
      <x:c r="O3" s="56"/>
      <x:c r="P3" s="56"/>
      <x:c r="Q3" s="56"/>
      <x:c r="R3" s="56"/>
      <x:c r="S3" s="56"/>
      <x:c r="T3" s="56"/>
      <x:c r="U3" s="56"/>
      <x:c r="V3" s="56"/>
      <x:c r="W3" s="56"/>
      <x:c r="X3" s="56"/>
      <x:c r="Y3" s="56"/>
    </x:row>
    <x:row r="4" ht="28" customHeight="1">
      <x:c r="A4" s="56" t="str">
        <x:v>1. Mở đề. 2. Ghi lựa chọn. 3. Chọn Xong. 4. Ghi ngày/phút/loại câu.</x:v>
      </x:c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6"/>
      <x:c r="V4" s="56"/>
      <x:c r="W4" s="56"/>
      <x:c r="X4" s="56"/>
      <x:c r="Y4" s="56"/>
    </x:row>
    <x:row r="5" ht="28" customHeight="1">
      <x:c r="A5" s="56" t="str">
        <x:v>Vàng để nhập. 0 = bỏ câu; trống = chưa làm. Không mở khóa khi đang đo.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</x:row>
    <x:row r="6" ht="28" customHeight="1">
      <x:c r="A6" s="56" t="str">
        <x:v>Mỗi khối chọn một chế độ. Đã có lịch sử thì giữ nguyên, không ghi đè lần đầu.</x:v>
      </x:c>
      <x:c r="B6" s="56"/>
      <x:c r="C6" s="56"/>
      <x:c r="D6" s="56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  <x:c r="P6" s="56"/>
      <x:c r="Q6" s="56"/>
      <x:c r="R6" s="56"/>
      <x:c r="S6" s="56"/>
      <x:c r="T6" s="56"/>
      <x:c r="U6" s="56"/>
      <x:c r="V6" s="56"/>
      <x:c r="W6" s="56"/>
      <x:c r="X6" s="56"/>
      <x:c r="Y6" s="56"/>
    </x:row>
    <x:row r="7" ht="28" customHeight="1">
      <x:c r="A7" s="58" t="str">
        <x:v>N4-G1</x:v>
      </x:c>
      <x:c r="B7" s="58" t="str">
        <x:v>N4-G2</x:v>
      </x:c>
      <x:c r="C7" s="58" t="str">
        <x:v>N4-V</x:v>
      </x:c>
      <x:c r="D7" s="58" t="str">
        <x:v>N4-R</x:v>
      </x:c>
      <x:c r="E7" s="58" t="str">
        <x:v>N4-L1</x:v>
      </x:c>
      <x:c r="F7" s="58" t="str">
        <x:v>N4-L2</x:v>
      </x:c>
      <x:c r="G7" s="56"/>
      <x:c r="H7" s="56"/>
      <x:c r="I7" s="56"/>
      <x:c r="J7" s="56"/>
      <x:c r="K7" s="56"/>
      <x:c r="L7" s="56"/>
      <x:c r="M7" s="56"/>
      <x:c r="N7" s="56"/>
      <x:c r="O7" s="56"/>
      <x:c r="P7" s="56"/>
      <x:c r="Q7" s="56"/>
      <x:c r="R7" s="56"/>
      <x:c r="S7" s="56"/>
      <x:c r="T7" s="56"/>
      <x:c r="U7" s="56"/>
      <x:c r="V7" s="56"/>
      <x:c r="W7" s="56"/>
      <x:c r="X7" s="56"/>
      <x:c r="Y7" s="56"/>
    </x:row>
    <x:row r="8" ht="28" customHeight="1">
      <x:c r="A8" s="58" t="str">
        <x:v>N3-G</x:v>
      </x:c>
      <x:c r="B8" s="58" t="str">
        <x:v>N3-V</x:v>
      </x:c>
      <x:c r="C8" s="58" t="str">
        <x:v>N3-R</x:v>
      </x:c>
      <x:c r="D8" s="58" t="str">
        <x:v>N3-L1</x:v>
      </x:c>
      <x:c r="E8" s="58" t="str">
        <x:v>N3-L2</x:v>
      </x:c>
      <x:c r="F8" s="56"/>
      <x:c r="G8" s="56"/>
      <x:c r="H8" s="56"/>
      <x:c r="I8" s="56"/>
      <x:c r="J8" s="56"/>
      <x:c r="K8" s="56"/>
      <x:c r="L8" s="56"/>
      <x:c r="M8" s="56"/>
      <x:c r="N8" s="56"/>
      <x:c r="O8" s="56"/>
      <x:c r="P8" s="56"/>
      <x:c r="Q8" s="56"/>
      <x:c r="R8" s="56"/>
      <x:c r="S8" s="56"/>
      <x:c r="T8" s="56"/>
      <x:c r="U8" s="56"/>
      <x:c r="V8" s="56"/>
      <x:c r="W8" s="56"/>
      <x:c r="X8" s="56"/>
      <x:c r="Y8" s="56"/>
    </x:row>
    <x:row r="9" ht="28" customHeight="1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  <x:c r="P9" s="56"/>
      <x:c r="Q9" s="56"/>
      <x:c r="R9" s="56"/>
      <x:c r="S9" s="56"/>
      <x:c r="T9" s="56"/>
      <x:c r="U9" s="56"/>
      <x:c r="V9" s="56"/>
      <x:c r="W9" s="56"/>
      <x:c r="X9" s="56"/>
      <x:c r="Y9" s="56"/>
    </x:row>
    <x:row r="10" ht="30" customHeight="1">
      <x:c r="A10" s="60" t="str">
        <x:v>N4-G1 · Ngữ pháp · 6 phút làm</x:v>
      </x:c>
      <x:c r="B10" s="60"/>
      <x:c r="C10" s="60"/>
      <x:c r="D10" s="60"/>
      <x:c r="E10" s="60"/>
      <x:c r="F10" s="60"/>
      <x:c r="G10" s="60"/>
      <x:c r="H10" s="56"/>
      <x:c r="I10" s="56"/>
      <x:c r="J10" s="56"/>
      <x:c r="K10" s="56"/>
      <x:c r="L10" s="56"/>
      <x:c r="M10" s="56"/>
      <x:c r="N10" s="56"/>
      <x:c r="O10" s="56"/>
      <x:c r="P10" s="56"/>
      <x:c r="Q10" s="56"/>
      <x:c r="R10" s="56"/>
      <x:c r="S10" s="56"/>
      <x:c r="T10" s="56"/>
      <x:c r="U10" s="56"/>
      <x:c r="V10" s="56"/>
      <x:c r="W10" s="56"/>
      <x:c r="X10" s="56"/>
      <x:c r="Y10" s="56"/>
    </x:row>
    <x:row r="11" ht="28" customHeight="1">
      <x:c r="A11" s="56" t="str">
        <x:v>Nguồn JLPT</x:v>
      </x:c>
      <x:c r="B11" s="58" t="str">
        <x:v>Mở đề</x:v>
      </x:c>
      <x:c r="C11" s="56"/>
      <x:c r="D11" s="56"/>
      <x:c r="E11" s="58" t="str">
        <x:v>Khóa sau khi làm</x:v>
      </x:c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</x:row>
    <x:row r="12" ht="28" customHeight="1">
      <x:c r="A12" s="56" t="str">
        <x:v>Câu</x:v>
      </x:c>
      <x:c r="B12" s="56" t="str">
        <x:v>1</x:v>
      </x:c>
      <x:c r="C12" s="56" t="str">
        <x:v>2</x:v>
      </x:c>
      <x:c r="D12" s="56" t="str">
        <x:v>3</x:v>
      </x:c>
      <x:c r="E12" s="56" t="str">
        <x:v>4</x:v>
      </x:c>
      <x:c r="F12" s="56" t="str">
        <x:v>5</x:v>
      </x:c>
      <x:c r="G12" s="56" t="str">
        <x:v>6</x:v>
      </x:c>
      <x:c r="H12" s="56"/>
      <x:c r="I12" s="56"/>
      <x:c r="J12" s="56"/>
      <x:c r="K12" s="56"/>
      <x:c r="L12" s="56"/>
      <x:c r="M12" s="56"/>
      <x:c r="N12" s="56"/>
      <x:c r="O12" s="56"/>
      <x:c r="P12" s="56"/>
      <x:c r="Q12" s="56"/>
      <x:c r="R12" s="56"/>
      <x:c r="S12" s="56"/>
      <x:c r="T12" s="56"/>
      <x:c r="U12" s="56"/>
      <x:c r="V12" s="56"/>
      <x:c r="W12" s="56"/>
      <x:c r="X12" s="56"/>
      <x:c r="Y12" s="56"/>
    </x:row>
    <x:row r="13" ht="28" customHeight="1">
      <x:c r="A13" s="56" t="str">
        <x:v>Bạn chọn</x:v>
      </x:c>
      <x:c r="B13" s="63"/>
      <x:c r="C13" s="63"/>
      <x:c r="D13" s="63"/>
      <x:c r="E13" s="63"/>
      <x:c r="F13" s="63"/>
      <x:c r="G13" s="63"/>
      <x:c r="H13" s="56"/>
      <x:c r="I13" s="56"/>
      <x:c r="J13" s="56"/>
      <x:c r="K13" s="56"/>
      <x:c r="L13" s="56"/>
      <x:c r="M13" s="56"/>
      <x:c r="N13" s="56"/>
      <x:c r="O13" s="56"/>
      <x:c r="P13" s="56"/>
      <x:c r="Q13" s="56"/>
      <x:c r="R13" s="56"/>
      <x:c r="S13" s="56"/>
      <x:c r="T13" s="56"/>
      <x:c r="U13" s="56"/>
      <x:c r="V13" s="56"/>
      <x:c r="W13" s="56"/>
      <x:c r="X13" s="56"/>
      <x:c r="Y13" s="56"/>
    </x:row>
    <x:row r="14" ht="28" customHeight="1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  <x:c r="P14" s="56"/>
      <x:c r="Q14" s="56"/>
      <x:c r="R14" s="56"/>
      <x:c r="S14" s="56"/>
      <x:c r="T14" s="56"/>
      <x:c r="U14" s="56"/>
      <x:c r="V14" s="56"/>
      <x:c r="W14" s="56"/>
      <x:c r="X14" s="56"/>
      <x:c r="Y14" s="56"/>
    </x:row>
    <x:row r="15" ht="28" customHeight="1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  <x:c r="P15" s="56"/>
      <x:c r="Q15" s="56"/>
      <x:c r="R15" s="56"/>
      <x:c r="S15" s="56"/>
      <x:c r="T15" s="56"/>
      <x:c r="U15" s="56"/>
      <x:c r="V15" s="56"/>
      <x:c r="W15" s="56"/>
      <x:c r="X15" s="56"/>
      <x:c r="Y15" s="56"/>
    </x:row>
    <x:row r="16" ht="28" customHeight="1">
      <x:c r="A16" s="56" t="str">
        <x:v>Ngày thật</x:v>
      </x:c>
      <x:c r="B16" s="64"/>
      <x:c r="C16" s="56" t="str">
        <x:v>Phút làm</x:v>
      </x:c>
      <x:c r="D16" s="61"/>
      <x:c r="E16" s="56" t="str">
        <x:v>Loại câu</x:v>
      </x:c>
      <x:c r="F16" s="61"/>
      <x:c r="G16" s="56"/>
      <x:c r="H16" s="56"/>
      <x:c r="I16" s="56" t="n">
        <x:f>IF(ISBLANK(B13),0,IF(ISNUMBER(B13),IF(AND(B13&gt;=0,B13&lt;=4,MOD(B13,1)=0),1,-1),-1))</x:f>
        <x:v>0</x:v>
      </x:c>
      <x:c r="J16" s="56" t="n">
        <x:f>IF(I16=1,IF(B13='Chẩn đoán'!N8,1,0),0)</x:f>
        <x:v>0</x:v>
      </x:c>
      <x:c r="K16" s="56"/>
      <x:c r="L16" s="56"/>
      <x:c r="M16" s="56"/>
      <x:c r="N16" s="56"/>
      <x:c r="O16" s="56"/>
      <x:c r="P16" s="56"/>
      <x:c r="Q16" s="56"/>
      <x:c r="R16" s="56"/>
      <x:c r="S16" s="56"/>
      <x:c r="T16" s="56"/>
      <x:c r="U16" s="56"/>
      <x:c r="V16" s="56"/>
      <x:c r="W16" s="56"/>
      <x:c r="X16" s="56"/>
      <x:c r="Y16" s="56"/>
    </x:row>
    <x:row r="17" ht="28" customHeight="1">
      <x:c r="A17" s="56" t="str">
        <x:v>Chấm sau giờ</x:v>
      </x:c>
      <x:c r="B17" s="61"/>
      <x:c r="C17" s="56"/>
      <x:c r="D17" s="56" t="str">
        <x:v>Dở dang: để nguyên; chưa chọn Xong.</x:v>
      </x:c>
      <x:c r="E17" s="56"/>
      <x:c r="F17" s="56"/>
      <x:c r="G17" s="56"/>
      <x:c r="H17" s="56"/>
      <x:c r="I17" s="56" t="n">
        <x:f>IF(ISBLANK(C13),0,IF(ISNUMBER(C13),IF(AND(C13&gt;=0,C13&lt;=4,MOD(C13,1)=0),1,-1),-1))</x:f>
        <x:v>0</x:v>
      </x:c>
      <x:c r="J17" s="56" t="n">
        <x:f>IF(I17=1,IF(C13='Chẩn đoán'!N9,1,0),0)</x:f>
        <x:v>0</x:v>
      </x:c>
      <x:c r="K17" s="56"/>
      <x:c r="L17" s="56"/>
      <x:c r="M17" s="56"/>
      <x:c r="N17" s="56"/>
      <x:c r="O17" s="56"/>
      <x:c r="P17" s="56"/>
      <x:c r="Q17" s="56"/>
      <x:c r="R17" s="56"/>
      <x:c r="S17" s="56"/>
      <x:c r="T17" s="56"/>
      <x:c r="U17" s="56"/>
      <x:c r="V17" s="56"/>
      <x:c r="W17" s="56"/>
      <x:c r="X17" s="56"/>
      <x:c r="Y17" s="56"/>
    </x:row>
    <x:row r="18" ht="32" customHeight="1">
      <x:c r="A18" s="56" t="str">
        <x:v>Trạng thái</x:v>
      </x:c>
      <x:c r="B18" s="66" t="str">
        <x:f>P172</x:f>
        <x:v>Chưa làm</x:v>
      </x:c>
      <x:c r="C18" s="66"/>
      <x:c r="D18" s="66"/>
      <x:c r="E18" s="66"/>
      <x:c r="F18" s="66"/>
      <x:c r="G18" s="66"/>
      <x:c r="H18" s="56"/>
      <x:c r="I18" s="56" t="n">
        <x:f>IF(ISBLANK(D13),0,IF(ISNUMBER(D13),IF(AND(D13&gt;=0,D13&lt;=4,MOD(D13,1)=0),1,-1),-1))</x:f>
        <x:v>0</x:v>
      </x:c>
      <x:c r="J18" s="56" t="n">
        <x:f>IF(I18=1,IF(D13='Chẩn đoán'!N10,1,0),0)</x:f>
        <x:v>0</x:v>
      </x:c>
      <x:c r="K18" s="56"/>
      <x:c r="L18" s="56"/>
      <x:c r="M18" s="56"/>
      <x:c r="N18" s="56"/>
      <x:c r="O18" s="56"/>
      <x:c r="P18" s="56"/>
      <x:c r="Q18" s="56"/>
      <x:c r="R18" s="56"/>
      <x:c r="S18" s="56"/>
      <x:c r="T18" s="56"/>
      <x:c r="U18" s="56"/>
      <x:c r="V18" s="56"/>
      <x:c r="W18" s="56"/>
      <x:c r="X18" s="56"/>
      <x:c r="Y18" s="56"/>
    </x:row>
    <x:row r="19" ht="32" customHeight="1">
      <x:c r="A19" s="56" t="str">
        <x:v>Kết quả</x:v>
      </x:c>
      <x:c r="B19" s="66" t="str">
        <x:f>IF(AND(B17="Xong",R172=K172,S172=0),T172&amp;"/"&amp;K172&amp;" đúng; 0 vẫn tính bỏ câu","Đã ghi "&amp;R172&amp;"/"&amp;K172&amp;"; chưa hiện điểm")</x:f>
        <x:v>Đã ghi 0/6; chưa hiện điểm</x:v>
      </x:c>
      <x:c r="C19" s="66"/>
      <x:c r="D19" s="66"/>
      <x:c r="E19" s="66"/>
      <x:c r="F19" s="66"/>
      <x:c r="G19" s="66"/>
      <x:c r="H19" s="56"/>
      <x:c r="I19" s="56" t="n">
        <x:f>IF(ISBLANK(E13),0,IF(ISNUMBER(E13),IF(AND(E13&gt;=0,E13&lt;=4,MOD(E13,1)=0),1,-1),-1))</x:f>
        <x:v>0</x:v>
      </x:c>
      <x:c r="J19" s="56" t="n">
        <x:f>IF(I19=1,IF(E13='Chẩn đoán'!N11,1,0),0)</x:f>
        <x:v>0</x:v>
      </x:c>
      <x:c r="K19" s="56"/>
      <x:c r="L19" s="56"/>
      <x:c r="M19" s="56"/>
      <x:c r="N19" s="56"/>
      <x:c r="O19" s="56"/>
      <x:c r="P19" s="56"/>
      <x:c r="Q19" s="56"/>
      <x:c r="R19" s="56"/>
      <x:c r="S19" s="56"/>
      <x:c r="T19" s="56"/>
      <x:c r="U19" s="56"/>
      <x:c r="V19" s="56"/>
      <x:c r="W19" s="56"/>
      <x:c r="X19" s="56"/>
      <x:c r="Y19" s="56"/>
    </x:row>
    <x:row r="20" ht="32" customHeight="1">
      <x:c r="A20" s="56" t="str">
        <x:v>Câu cần sửa</x:v>
      </x:c>
      <x:c r="B20" s="66" t="str">
        <x:f>IF(AND(B17="Xong",R172=K172,S172=0),IF(X172="","Không có câu sai/bỏ",X172),"Chỉ hiện sau khi làm xong")</x:f>
        <x:v>Chỉ hiện sau khi làm xong</x:v>
      </x:c>
      <x:c r="C20" s="66"/>
      <x:c r="D20" s="66"/>
      <x:c r="E20" s="66"/>
      <x:c r="F20" s="66"/>
      <x:c r="G20" s="66"/>
      <x:c r="H20" s="56"/>
      <x:c r="I20" s="56" t="n">
        <x:f>IF(ISBLANK(F13),0,IF(ISNUMBER(F13),IF(AND(F13&gt;=0,F13&lt;=4,MOD(F13,1)=0),1,-1),-1))</x:f>
        <x:v>0</x:v>
      </x:c>
      <x:c r="J20" s="56" t="n">
        <x:f>IF(I20=1,IF(F13='Chẩn đoán'!N12,1,0),0)</x:f>
        <x:v>0</x:v>
      </x:c>
      <x:c r="K20" s="56"/>
      <x:c r="L20" s="56"/>
      <x:c r="M20" s="56"/>
      <x:c r="N20" s="56"/>
      <x:c r="O20" s="56"/>
      <x:c r="P20" s="56"/>
      <x:c r="Q20" s="56"/>
      <x:c r="R20" s="56"/>
      <x:c r="S20" s="56"/>
      <x:c r="T20" s="56"/>
      <x:c r="U20" s="56"/>
      <x:c r="V20" s="56"/>
      <x:c r="W20" s="56"/>
      <x:c r="X20" s="56"/>
      <x:c r="Y20" s="56"/>
    </x:row>
    <x:row r="21" ht="28" customHeight="1">
      <x:c r="A21" s="56" t="str">
        <x:v>Lỗi chính</x:v>
      </x:c>
      <x:c r="B21" s="61"/>
      <x:c r="C21" s="56"/>
      <x:c r="D21" s="56"/>
      <x:c r="E21" s="58" t="str">
        <x:v>Xem tuần</x:v>
      </x:c>
      <x:c r="F21" s="56"/>
      <x:c r="G21" s="56"/>
      <x:c r="H21" s="56"/>
      <x:c r="I21" s="56" t="n">
        <x:f>IF(ISBLANK(G13),0,IF(ISNUMBER(G13),IF(AND(G13&gt;=0,G13&lt;=4,MOD(G13,1)=0),1,-1),-1))</x:f>
        <x:v>0</x:v>
      </x:c>
      <x:c r="J21" s="56" t="n">
        <x:f>IF(I21=1,IF(G13='Chẩn đoán'!N13,1,0),0)</x:f>
        <x:v>0</x:v>
      </x:c>
      <x:c r="K21" s="56"/>
      <x:c r="L21" s="56"/>
      <x:c r="M21" s="56"/>
      <x:c r="N21" s="56"/>
      <x:c r="O21" s="56"/>
      <x:c r="P21" s="56"/>
      <x:c r="Q21" s="56"/>
      <x:c r="R21" s="56"/>
      <x:c r="S21" s="56"/>
      <x:c r="T21" s="56"/>
      <x:c r="U21" s="56"/>
      <x:c r="V21" s="56"/>
      <x:c r="W21" s="56"/>
      <x:c r="X21" s="56"/>
      <x:c r="Y21" s="56"/>
    </x:row>
    <x:row r="22" ht="32" customHeight="1">
      <x:c r="A22" s="56" t="str">
        <x:v>Tiếp theo</x:v>
      </x:c>
      <x:c r="B22" s="66" t="str">
        <x:f>IF(P172="Đã chấm","Chọn 1 lỗi để chữa 5-10 phút rồi dừng.",IF(P172="Trùng hai chế độ","Giữ lịch sử ở Chẩn đoán; xóa bản nhập trùng ở đây.","Hoàn tất khi đủ sức; không ép làm khối tiếp."))</x:f>
        <x:v>Hoàn tất khi đủ sức; không ép làm khối tiếp.</x:v>
      </x:c>
      <x:c r="C22" s="66"/>
      <x:c r="D22" s="66"/>
      <x:c r="E22" s="66"/>
      <x:c r="F22" s="66"/>
      <x:c r="G22" s="66"/>
      <x:c r="H22" s="56"/>
      <x:c r="I22" s="56" t="n">
        <x:f>IF(ISBLANK(B27),0,IF(ISNUMBER(B27),IF(AND(B27&gt;=0,B27&lt;=4,MOD(B27,1)=0),1,-1),-1))</x:f>
        <x:v>0</x:v>
      </x:c>
      <x:c r="J22" s="56" t="n">
        <x:f>IF(I22=1,IF(B27='Chẩn đoán'!N14,1,0),0)</x:f>
        <x:v>0</x:v>
      </x:c>
      <x:c r="K22" s="56"/>
      <x:c r="L22" s="56"/>
      <x:c r="M22" s="56"/>
      <x:c r="N22" s="56"/>
      <x:c r="O22" s="56"/>
      <x:c r="P22" s="56"/>
      <x:c r="Q22" s="56"/>
      <x:c r="R22" s="56"/>
      <x:c r="S22" s="56"/>
      <x:c r="T22" s="56"/>
      <x:c r="U22" s="56"/>
      <x:c r="V22" s="56"/>
      <x:c r="W22" s="56"/>
      <x:c r="X22" s="56"/>
      <x:c r="Y22" s="56"/>
    </x:row>
    <x:row r="23" ht="28" customHeight="1">
      <x:c r="A23" s="56"/>
      <x:c r="B23" s="56"/>
      <x:c r="C23" s="56"/>
      <x:c r="D23" s="56"/>
      <x:c r="E23" s="56"/>
      <x:c r="F23" s="56"/>
      <x:c r="G23" s="56"/>
      <x:c r="H23" s="56"/>
      <x:c r="I23" s="56" t="n">
        <x:f>IF(ISBLANK(C27),0,IF(ISNUMBER(C27),IF(AND(C27&gt;=0,C27&lt;=4,MOD(C27,1)=0),1,-1),-1))</x:f>
        <x:v>0</x:v>
      </x:c>
      <x:c r="J23" s="56" t="n">
        <x:f>IF(I23=1,IF(C27='Chẩn đoán'!N15,1,0),0)</x:f>
        <x:v>0</x:v>
      </x:c>
      <x:c r="K23" s="56"/>
      <x:c r="L23" s="56"/>
      <x:c r="M23" s="56"/>
      <x:c r="N23" s="56"/>
      <x:c r="O23" s="56"/>
      <x:c r="P23" s="56"/>
      <x:c r="Q23" s="56"/>
      <x:c r="R23" s="56"/>
      <x:c r="S23" s="56"/>
      <x:c r="T23" s="56"/>
      <x:c r="U23" s="56"/>
      <x:c r="V23" s="56"/>
      <x:c r="W23" s="56"/>
      <x:c r="X23" s="56"/>
      <x:c r="Y23" s="56"/>
    </x:row>
    <x:row r="24" ht="30" customHeight="1">
      <x:c r="A24" s="60" t="str">
        <x:v>N4-G2 · Ngữ pháp · 6 phút làm</x:v>
      </x:c>
      <x:c r="B24" s="60"/>
      <x:c r="C24" s="60"/>
      <x:c r="D24" s="60"/>
      <x:c r="E24" s="60"/>
      <x:c r="F24" s="60"/>
      <x:c r="G24" s="60"/>
      <x:c r="H24" s="56"/>
      <x:c r="I24" s="56" t="n">
        <x:f>IF(ISBLANK(D27),0,IF(ISNUMBER(D27),IF(AND(D27&gt;=0,D27&lt;=4,MOD(D27,1)=0),1,-1),-1))</x:f>
        <x:v>0</x:v>
      </x:c>
      <x:c r="J24" s="56" t="n">
        <x:f>IF(I24=1,IF(D27='Chẩn đoán'!N16,1,0),0)</x:f>
        <x:v>0</x:v>
      </x:c>
      <x:c r="K24" s="56"/>
      <x:c r="L24" s="56"/>
      <x:c r="M24" s="56"/>
      <x:c r="N24" s="56"/>
      <x:c r="O24" s="56"/>
      <x:c r="P24" s="56"/>
      <x:c r="Q24" s="56"/>
      <x:c r="R24" s="56"/>
      <x:c r="S24" s="56"/>
      <x:c r="T24" s="56"/>
      <x:c r="U24" s="56"/>
      <x:c r="V24" s="56"/>
      <x:c r="W24" s="56"/>
      <x:c r="X24" s="56"/>
      <x:c r="Y24" s="56"/>
    </x:row>
    <x:row r="25" ht="28" customHeight="1">
      <x:c r="A25" s="56" t="str">
        <x:v>Nguồn JLPT</x:v>
      </x:c>
      <x:c r="B25" s="58" t="str">
        <x:v>Mở đề</x:v>
      </x:c>
      <x:c r="C25" s="56"/>
      <x:c r="D25" s="56"/>
      <x:c r="E25" s="58" t="str">
        <x:v>Khóa sau khi làm</x:v>
      </x:c>
      <x:c r="F25" s="56"/>
      <x:c r="G25" s="56"/>
      <x:c r="H25" s="56"/>
      <x:c r="I25" s="56" t="n">
        <x:f>IF(ISBLANK(E27),0,IF(ISNUMBER(E27),IF(AND(E27&gt;=0,E27&lt;=4,MOD(E27,1)=0),1,-1),-1))</x:f>
        <x:v>0</x:v>
      </x:c>
      <x:c r="J25" s="56" t="n">
        <x:f>IF(I25=1,IF(E27='Chẩn đoán'!N17,1,0),0)</x:f>
        <x:v>0</x:v>
      </x:c>
      <x:c r="K25" s="56"/>
      <x:c r="L25" s="56"/>
      <x:c r="M25" s="56"/>
      <x:c r="N25" s="56"/>
      <x:c r="O25" s="56"/>
      <x:c r="P25" s="56"/>
      <x:c r="Q25" s="56"/>
      <x:c r="R25" s="56"/>
      <x:c r="S25" s="56"/>
      <x:c r="T25" s="56"/>
      <x:c r="U25" s="56"/>
      <x:c r="V25" s="56"/>
      <x:c r="W25" s="56"/>
      <x:c r="X25" s="56"/>
      <x:c r="Y25" s="56"/>
    </x:row>
    <x:row r="26" ht="28" customHeight="1">
      <x:c r="A26" s="56" t="str">
        <x:v>Câu</x:v>
      </x:c>
      <x:c r="B26" s="56" t="str">
        <x:v>16</x:v>
      </x:c>
      <x:c r="C26" s="56" t="str">
        <x:v>17</x:v>
      </x:c>
      <x:c r="D26" s="56" t="str">
        <x:v>21</x:v>
      </x:c>
      <x:c r="E26" s="56" t="str">
        <x:v>22</x:v>
      </x:c>
      <x:c r="F26" s="56" t="str">
        <x:v>23</x:v>
      </x:c>
      <x:c r="G26" s="56" t="str">
        <x:v>24</x:v>
      </x:c>
      <x:c r="H26" s="56"/>
      <x:c r="I26" s="56" t="n">
        <x:f>IF(ISBLANK(F27),0,IF(ISNUMBER(F27),IF(AND(F27&gt;=0,F27&lt;=4,MOD(F27,1)=0),1,-1),-1))</x:f>
        <x:v>0</x:v>
      </x:c>
      <x:c r="J26" s="56" t="n">
        <x:f>IF(I26=1,IF(F27='Chẩn đoán'!N18,1,0),0)</x:f>
        <x:v>0</x:v>
      </x:c>
      <x:c r="K26" s="56"/>
      <x:c r="L26" s="56"/>
      <x:c r="M26" s="56"/>
      <x:c r="N26" s="56"/>
      <x:c r="O26" s="56"/>
      <x:c r="P26" s="56"/>
      <x:c r="Q26" s="56"/>
      <x:c r="R26" s="56"/>
      <x:c r="S26" s="56"/>
      <x:c r="T26" s="56"/>
      <x:c r="U26" s="56"/>
      <x:c r="V26" s="56"/>
      <x:c r="W26" s="56"/>
      <x:c r="X26" s="56"/>
      <x:c r="Y26" s="56"/>
    </x:row>
    <x:row r="27" ht="28" customHeight="1">
      <x:c r="A27" s="56" t="str">
        <x:v>Bạn chọn</x:v>
      </x:c>
      <x:c r="B27" s="63"/>
      <x:c r="C27" s="63"/>
      <x:c r="D27" s="63"/>
      <x:c r="E27" s="63"/>
      <x:c r="F27" s="63"/>
      <x:c r="G27" s="63"/>
      <x:c r="H27" s="56"/>
      <x:c r="I27" s="56" t="n">
        <x:f>IF(ISBLANK(G27),0,IF(ISNUMBER(G27),IF(AND(G27&gt;=0,G27&lt;=4,MOD(G27,1)=0),1,-1),-1))</x:f>
        <x:v>0</x:v>
      </x:c>
      <x:c r="J27" s="56" t="n">
        <x:f>IF(I27=1,IF(G27='Chẩn đoán'!N19,1,0),0)</x:f>
        <x:v>0</x:v>
      </x:c>
      <x:c r="K27" s="56"/>
      <x:c r="L27" s="56"/>
      <x:c r="M27" s="56"/>
      <x:c r="N27" s="56"/>
      <x:c r="O27" s="56"/>
      <x:c r="P27" s="56"/>
      <x:c r="Q27" s="56"/>
      <x:c r="R27" s="56"/>
      <x:c r="S27" s="56"/>
      <x:c r="T27" s="56"/>
      <x:c r="U27" s="56"/>
      <x:c r="V27" s="56"/>
      <x:c r="W27" s="56"/>
      <x:c r="X27" s="56"/>
      <x:c r="Y27" s="56"/>
    </x:row>
    <x:row r="28" ht="28" customHeight="1">
      <x:c r="A28" s="56" t="str">
        <x:v>Câu tiếp</x:v>
      </x:c>
      <x:c r="B28" s="56" t="str">
        <x:v>25</x:v>
      </x:c>
      <x:c r="C28" s="56"/>
      <x:c r="D28" s="56"/>
      <x:c r="E28" s="56"/>
      <x:c r="F28" s="56"/>
      <x:c r="G28" s="56"/>
      <x:c r="H28" s="56"/>
      <x:c r="I28" s="56" t="n">
        <x:f>IF(ISBLANK(B29),0,IF(ISNUMBER(B29),IF(AND(B29&gt;=0,B29&lt;=4,MOD(B29,1)=0),1,-1),-1))</x:f>
        <x:v>0</x:v>
      </x:c>
      <x:c r="J28" s="56" t="n">
        <x:f>IF(I28=1,IF(B29='Chẩn đoán'!N20,1,0),0)</x:f>
        <x:v>0</x:v>
      </x:c>
      <x:c r="K28" s="56"/>
      <x:c r="L28" s="56"/>
      <x:c r="M28" s="56"/>
      <x:c r="N28" s="56"/>
      <x:c r="O28" s="56"/>
      <x:c r="P28" s="56"/>
      <x:c r="Q28" s="56"/>
      <x:c r="R28" s="56"/>
      <x:c r="S28" s="56"/>
      <x:c r="T28" s="56"/>
      <x:c r="U28" s="56"/>
      <x:c r="V28" s="56"/>
      <x:c r="W28" s="56"/>
      <x:c r="X28" s="56"/>
      <x:c r="Y28" s="56"/>
    </x:row>
    <x:row r="29" ht="28" customHeight="1">
      <x:c r="A29" s="56" t="str">
        <x:v>Bạn chọn</x:v>
      </x:c>
      <x:c r="B29" s="63"/>
      <x:c r="C29" s="56"/>
      <x:c r="D29" s="56"/>
      <x:c r="E29" s="56"/>
      <x:c r="F29" s="56"/>
      <x:c r="G29" s="56"/>
      <x:c r="H29" s="56"/>
      <x:c r="I29" s="56" t="n">
        <x:f>IF(ISBLANK(B41),0,IF(ISNUMBER(B41),IF(AND(B41&gt;=0,B41&lt;=4,MOD(B41,1)=0),1,-1),-1))</x:f>
        <x:v>0</x:v>
      </x:c>
      <x:c r="J29" s="56" t="n">
        <x:f>IF(I29=1,IF(B41='Chẩn đoán'!N21,1,0),0)</x:f>
        <x:v>0</x:v>
      </x:c>
      <x:c r="K29" s="56"/>
      <x:c r="L29" s="56"/>
      <x:c r="M29" s="56"/>
      <x:c r="N29" s="56"/>
      <x:c r="O29" s="56"/>
      <x:c r="P29" s="56"/>
      <x:c r="Q29" s="56"/>
      <x:c r="R29" s="56"/>
      <x:c r="S29" s="56"/>
      <x:c r="T29" s="56"/>
      <x:c r="U29" s="56"/>
      <x:c r="V29" s="56"/>
      <x:c r="W29" s="56"/>
      <x:c r="X29" s="56"/>
      <x:c r="Y29" s="56"/>
    </x:row>
    <x:row r="30" ht="28" customHeight="1">
      <x:c r="A30" s="56" t="str">
        <x:v>Ngày thật</x:v>
      </x:c>
      <x:c r="B30" s="64"/>
      <x:c r="C30" s="56" t="str">
        <x:v>Phút làm</x:v>
      </x:c>
      <x:c r="D30" s="61"/>
      <x:c r="E30" s="56" t="str">
        <x:v>Loại câu</x:v>
      </x:c>
      <x:c r="F30" s="61"/>
      <x:c r="G30" s="56"/>
      <x:c r="H30" s="56"/>
      <x:c r="I30" s="56" t="n">
        <x:f>IF(ISBLANK(C41),0,IF(ISNUMBER(C41),IF(AND(C41&gt;=0,C41&lt;=4,MOD(C41,1)=0),1,-1),-1))</x:f>
        <x:v>0</x:v>
      </x:c>
      <x:c r="J30" s="56" t="n">
        <x:f>IF(I30=1,IF(C41='Chẩn đoán'!N22,1,0),0)</x:f>
        <x:v>0</x:v>
      </x:c>
      <x:c r="K30" s="56"/>
      <x:c r="L30" s="56"/>
      <x:c r="M30" s="56"/>
      <x:c r="N30" s="56"/>
      <x:c r="O30" s="56"/>
      <x:c r="P30" s="56"/>
      <x:c r="Q30" s="56"/>
      <x:c r="R30" s="56"/>
      <x:c r="S30" s="56"/>
      <x:c r="T30" s="56"/>
      <x:c r="U30" s="56"/>
      <x:c r="V30" s="56"/>
      <x:c r="W30" s="56"/>
      <x:c r="X30" s="56"/>
      <x:c r="Y30" s="56"/>
    </x:row>
    <x:row r="31" ht="28" customHeight="1">
      <x:c r="A31" s="56" t="str">
        <x:v>Chấm sau giờ</x:v>
      </x:c>
      <x:c r="B31" s="61"/>
      <x:c r="C31" s="56"/>
      <x:c r="D31" s="56" t="str">
        <x:v>Dở dang: để nguyên; chưa chọn Xong.</x:v>
      </x:c>
      <x:c r="E31" s="56"/>
      <x:c r="F31" s="56"/>
      <x:c r="G31" s="56"/>
      <x:c r="H31" s="56"/>
      <x:c r="I31" s="56" t="n">
        <x:f>IF(ISBLANK(D41),0,IF(ISNUMBER(D41),IF(AND(D41&gt;=0,D41&lt;=4,MOD(D41,1)=0),1,-1),-1))</x:f>
        <x:v>0</x:v>
      </x:c>
      <x:c r="J31" s="56" t="n">
        <x:f>IF(I31=1,IF(D41='Chẩn đoán'!N23,1,0),0)</x:f>
        <x:v>0</x:v>
      </x:c>
      <x:c r="K31" s="56"/>
      <x:c r="L31" s="56"/>
      <x:c r="M31" s="56"/>
      <x:c r="N31" s="56"/>
      <x:c r="O31" s="56"/>
      <x:c r="P31" s="56"/>
      <x:c r="Q31" s="56"/>
      <x:c r="R31" s="56"/>
      <x:c r="S31" s="56"/>
      <x:c r="T31" s="56"/>
      <x:c r="U31" s="56"/>
      <x:c r="V31" s="56"/>
      <x:c r="W31" s="56"/>
      <x:c r="X31" s="56"/>
      <x:c r="Y31" s="56"/>
    </x:row>
    <x:row r="32" ht="32" customHeight="1">
      <x:c r="A32" s="56" t="str">
        <x:v>Trạng thái</x:v>
      </x:c>
      <x:c r="B32" s="66" t="str">
        <x:f>P173</x:f>
        <x:v>Chưa làm</x:v>
      </x:c>
      <x:c r="C32" s="66"/>
      <x:c r="D32" s="66"/>
      <x:c r="E32" s="66"/>
      <x:c r="F32" s="66"/>
      <x:c r="G32" s="66"/>
      <x:c r="H32" s="56"/>
      <x:c r="I32" s="56" t="n">
        <x:f>IF(ISBLANK(E41),0,IF(ISNUMBER(E41),IF(AND(E41&gt;=0,E41&lt;=4,MOD(E41,1)=0),1,-1),-1))</x:f>
        <x:v>0</x:v>
      </x:c>
      <x:c r="J32" s="56" t="n">
        <x:f>IF(I32=1,IF(E41='Chẩn đoán'!N24,1,0),0)</x:f>
        <x:v>0</x:v>
      </x:c>
      <x:c r="K32" s="56"/>
      <x:c r="L32" s="56"/>
      <x:c r="M32" s="56"/>
      <x:c r="N32" s="56"/>
      <x:c r="O32" s="56"/>
      <x:c r="P32" s="56"/>
      <x:c r="Q32" s="56"/>
      <x:c r="R32" s="56"/>
      <x:c r="S32" s="56"/>
      <x:c r="T32" s="56"/>
      <x:c r="U32" s="56"/>
      <x:c r="V32" s="56"/>
      <x:c r="W32" s="56"/>
      <x:c r="X32" s="56"/>
      <x:c r="Y32" s="56"/>
    </x:row>
    <x:row r="33" ht="32" customHeight="1">
      <x:c r="A33" s="56" t="str">
        <x:v>Kết quả</x:v>
      </x:c>
      <x:c r="B33" s="66" t="str">
        <x:f>IF(AND(B31="Xong",R173=K173,S173=0),T173&amp;"/"&amp;K173&amp;" đúng; 0 vẫn tính bỏ câu","Đã ghi "&amp;R173&amp;"/"&amp;K173&amp;"; chưa hiện điểm")</x:f>
        <x:v>Đã ghi 0/7; chưa hiện điểm</x:v>
      </x:c>
      <x:c r="C33" s="66"/>
      <x:c r="D33" s="66"/>
      <x:c r="E33" s="66"/>
      <x:c r="F33" s="66"/>
      <x:c r="G33" s="66"/>
      <x:c r="H33" s="56"/>
      <x:c r="I33" s="56" t="n">
        <x:f>IF(ISBLANK(F41),0,IF(ISNUMBER(F41),IF(AND(F41&gt;=0,F41&lt;=4,MOD(F41,1)=0),1,-1),-1))</x:f>
        <x:v>0</x:v>
      </x:c>
      <x:c r="J33" s="56" t="n">
        <x:f>IF(I33=1,IF(F41='Chẩn đoán'!N25,1,0),0)</x:f>
        <x:v>0</x:v>
      </x:c>
      <x:c r="K33" s="56"/>
      <x:c r="L33" s="56"/>
      <x:c r="M33" s="56"/>
      <x:c r="N33" s="56"/>
      <x:c r="O33" s="56"/>
      <x:c r="P33" s="56"/>
      <x:c r="Q33" s="56"/>
      <x:c r="R33" s="56"/>
      <x:c r="S33" s="56"/>
      <x:c r="T33" s="56"/>
      <x:c r="U33" s="56"/>
      <x:c r="V33" s="56"/>
      <x:c r="W33" s="56"/>
      <x:c r="X33" s="56"/>
      <x:c r="Y33" s="56"/>
    </x:row>
    <x:row r="34" ht="32" customHeight="1">
      <x:c r="A34" s="56" t="str">
        <x:v>Câu cần sửa</x:v>
      </x:c>
      <x:c r="B34" s="66" t="str">
        <x:f>IF(AND(B31="Xong",R173=K173,S173=0),IF(X173="","Không có câu sai/bỏ",X173),"Chỉ hiện sau khi làm xong")</x:f>
        <x:v>Chỉ hiện sau khi làm xong</x:v>
      </x:c>
      <x:c r="C34" s="66"/>
      <x:c r="D34" s="66"/>
      <x:c r="E34" s="66"/>
      <x:c r="F34" s="66"/>
      <x:c r="G34" s="66"/>
      <x:c r="H34" s="56"/>
      <x:c r="I34" s="56" t="n">
        <x:f>IF(ISBLANK(G41),0,IF(ISNUMBER(G41),IF(AND(G41&gt;=0,G41&lt;=4,MOD(G41,1)=0),1,-1),-1))</x:f>
        <x:v>0</x:v>
      </x:c>
      <x:c r="J34" s="56" t="n">
        <x:f>IF(I34=1,IF(G41='Chẩn đoán'!N26,1,0),0)</x:f>
        <x:v>0</x:v>
      </x:c>
      <x:c r="K34" s="56"/>
      <x:c r="L34" s="56"/>
      <x:c r="M34" s="56"/>
      <x:c r="N34" s="56"/>
      <x:c r="O34" s="56"/>
      <x:c r="P34" s="56"/>
      <x:c r="Q34" s="56"/>
      <x:c r="R34" s="56"/>
      <x:c r="S34" s="56"/>
      <x:c r="T34" s="56"/>
      <x:c r="U34" s="56"/>
      <x:c r="V34" s="56"/>
      <x:c r="W34" s="56"/>
      <x:c r="X34" s="56"/>
      <x:c r="Y34" s="56"/>
    </x:row>
    <x:row r="35" ht="28" customHeight="1">
      <x:c r="A35" s="56" t="str">
        <x:v>Lỗi chính</x:v>
      </x:c>
      <x:c r="B35" s="61"/>
      <x:c r="C35" s="56"/>
      <x:c r="D35" s="56"/>
      <x:c r="E35" s="58" t="str">
        <x:v>Xem tuần</x:v>
      </x:c>
      <x:c r="F35" s="56"/>
      <x:c r="G35" s="56"/>
      <x:c r="H35" s="56"/>
      <x:c r="I35" s="56" t="n">
        <x:f>IF(ISBLANK(B43),0,IF(ISNUMBER(B43),IF(AND(B43&gt;=0,B43&lt;=4,MOD(B43,1)=0),1,-1),-1))</x:f>
        <x:v>0</x:v>
      </x:c>
      <x:c r="J35" s="56" t="n">
        <x:f>IF(I35=1,IF(B43='Chẩn đoán'!N27,1,0),0)</x:f>
        <x:v>0</x:v>
      </x:c>
      <x:c r="K35" s="56"/>
      <x:c r="L35" s="56"/>
      <x:c r="M35" s="56"/>
      <x:c r="N35" s="56"/>
      <x:c r="O35" s="56"/>
      <x:c r="P35" s="56"/>
      <x:c r="Q35" s="56"/>
      <x:c r="R35" s="56"/>
      <x:c r="S35" s="56"/>
      <x:c r="T35" s="56"/>
      <x:c r="U35" s="56"/>
      <x:c r="V35" s="56"/>
      <x:c r="W35" s="56"/>
      <x:c r="X35" s="56"/>
      <x:c r="Y35" s="56"/>
    </x:row>
    <x:row r="36" ht="32" customHeight="1">
      <x:c r="A36" s="56" t="str">
        <x:v>Tiếp theo</x:v>
      </x:c>
      <x:c r="B36" s="66" t="str">
        <x:f>IF(P173="Đã chấm","Chọn 1 lỗi để chữa 5-10 phút rồi dừng.",IF(P173="Trùng hai chế độ","Giữ lịch sử ở Chẩn đoán; xóa bản nhập trùng ở đây.","Hoàn tất khi đủ sức; không ép làm khối tiếp."))</x:f>
        <x:v>Hoàn tất khi đủ sức; không ép làm khối tiếp.</x:v>
      </x:c>
      <x:c r="C36" s="66"/>
      <x:c r="D36" s="66"/>
      <x:c r="E36" s="66"/>
      <x:c r="F36" s="66"/>
      <x:c r="G36" s="66"/>
      <x:c r="H36" s="56"/>
      <x:c r="I36" s="56" t="n">
        <x:f>IF(ISBLANK(C43),0,IF(ISNUMBER(C43),IF(AND(C43&gt;=0,C43&lt;=4,MOD(C43,1)=0),1,-1),-1))</x:f>
        <x:v>0</x:v>
      </x:c>
      <x:c r="J36" s="56" t="n">
        <x:f>IF(I36=1,IF(C43='Chẩn đoán'!N28,1,0),0)</x:f>
        <x:v>0</x:v>
      </x:c>
      <x:c r="K36" s="56"/>
      <x:c r="L36" s="56"/>
      <x:c r="M36" s="56"/>
      <x:c r="N36" s="56"/>
      <x:c r="O36" s="56"/>
      <x:c r="P36" s="56"/>
      <x:c r="Q36" s="56"/>
      <x:c r="R36" s="56"/>
      <x:c r="S36" s="56"/>
      <x:c r="T36" s="56"/>
      <x:c r="U36" s="56"/>
      <x:c r="V36" s="56"/>
      <x:c r="W36" s="56"/>
      <x:c r="X36" s="56"/>
      <x:c r="Y36" s="56"/>
    </x:row>
    <x:row r="37" ht="28" customHeight="1">
      <x:c r="A37" s="56"/>
      <x:c r="B37" s="56"/>
      <x:c r="C37" s="56"/>
      <x:c r="D37" s="56"/>
      <x:c r="E37" s="56"/>
      <x:c r="F37" s="56"/>
      <x:c r="G37" s="56"/>
      <x:c r="H37" s="56"/>
      <x:c r="I37" s="56" t="n">
        <x:f>IF(ISBLANK(D43),0,IF(ISNUMBER(D43),IF(AND(D43&gt;=0,D43&lt;=4,MOD(D43,1)=0),1,-1),-1))</x:f>
        <x:v>0</x:v>
      </x:c>
      <x:c r="J37" s="56" t="n">
        <x:f>IF(I37=1,IF(D43='Chẩn đoán'!N29,1,0),0)</x:f>
        <x:v>0</x:v>
      </x:c>
      <x:c r="K37" s="56"/>
      <x:c r="L37" s="56"/>
      <x:c r="M37" s="56"/>
      <x:c r="N37" s="56"/>
      <x:c r="O37" s="56"/>
      <x:c r="P37" s="56"/>
      <x:c r="Q37" s="56"/>
      <x:c r="R37" s="56"/>
      <x:c r="S37" s="56"/>
      <x:c r="T37" s="56"/>
      <x:c r="U37" s="56"/>
      <x:c r="V37" s="56"/>
      <x:c r="W37" s="56"/>
      <x:c r="X37" s="56"/>
      <x:c r="Y37" s="56"/>
    </x:row>
    <x:row r="38" ht="30" customHeight="1">
      <x:c r="A38" s="60" t="str">
        <x:v>N4-V · Từ và kanji · 8 phút làm</x:v>
      </x:c>
      <x:c r="B38" s="60"/>
      <x:c r="C38" s="60"/>
      <x:c r="D38" s="60"/>
      <x:c r="E38" s="60"/>
      <x:c r="F38" s="60"/>
      <x:c r="G38" s="60"/>
      <x:c r="H38" s="56"/>
      <x:c r="I38" s="56" t="n">
        <x:f>IF(ISBLANK(E43),0,IF(ISNUMBER(E43),IF(AND(E43&gt;=0,E43&lt;=4,MOD(E43,1)=0),1,-1),-1))</x:f>
        <x:v>0</x:v>
      </x:c>
      <x:c r="J38" s="56" t="n">
        <x:f>IF(I38=1,IF(E43='Chẩn đoán'!N30,1,0),0)</x:f>
        <x:v>0</x:v>
      </x:c>
      <x:c r="K38" s="56"/>
      <x:c r="L38" s="56"/>
      <x:c r="M38" s="56"/>
      <x:c r="N38" s="56"/>
      <x:c r="O38" s="56"/>
      <x:c r="P38" s="56"/>
      <x:c r="Q38" s="56"/>
      <x:c r="R38" s="56"/>
      <x:c r="S38" s="56"/>
      <x:c r="T38" s="56"/>
      <x:c r="U38" s="56"/>
      <x:c r="V38" s="56"/>
      <x:c r="W38" s="56"/>
      <x:c r="X38" s="56"/>
      <x:c r="Y38" s="56"/>
    </x:row>
    <x:row r="39" ht="28" customHeight="1">
      <x:c r="A39" s="56" t="str">
        <x:v>Nguồn JLPT</x:v>
      </x:c>
      <x:c r="B39" s="58" t="str">
        <x:v>Mở đề</x:v>
      </x:c>
      <x:c r="C39" s="56"/>
      <x:c r="D39" s="56"/>
      <x:c r="E39" s="58" t="str">
        <x:v>Khóa sau khi làm</x:v>
      </x:c>
      <x:c r="F39" s="56"/>
      <x:c r="G39" s="56"/>
      <x:c r="H39" s="56"/>
      <x:c r="I39" s="56" t="n">
        <x:f>IF(ISBLANK(B55),0,IF(ISNUMBER(B55),IF(AND(B55&gt;=0,B55&lt;=4,MOD(B55,1)=0),1,-1),-1))</x:f>
        <x:v>0</x:v>
      </x:c>
      <x:c r="J39" s="56" t="n">
        <x:f>IF(I39=1,IF(B55='Chẩn đoán'!N31,1,0),0)</x:f>
        <x:v>0</x:v>
      </x:c>
      <x:c r="K39" s="56"/>
      <x:c r="L39" s="56"/>
      <x:c r="M39" s="56"/>
      <x:c r="N39" s="56"/>
      <x:c r="O39" s="56"/>
      <x:c r="P39" s="56"/>
      <x:c r="Q39" s="56"/>
      <x:c r="R39" s="56"/>
      <x:c r="S39" s="56"/>
      <x:c r="T39" s="56"/>
      <x:c r="U39" s="56"/>
      <x:c r="V39" s="56"/>
      <x:c r="W39" s="56"/>
      <x:c r="X39" s="56"/>
      <x:c r="Y39" s="56"/>
    </x:row>
    <x:row r="40" ht="28" customHeight="1">
      <x:c r="A40" s="56" t="str">
        <x:v>Câu</x:v>
      </x:c>
      <x:c r="B40" s="56" t="str">
        <x:v>1</x:v>
      </x:c>
      <x:c r="C40" s="56" t="str">
        <x:v>2</x:v>
      </x:c>
      <x:c r="D40" s="56" t="str">
        <x:v>10</x:v>
      </x:c>
      <x:c r="E40" s="56" t="str">
        <x:v>11</x:v>
      </x:c>
      <x:c r="F40" s="56" t="str">
        <x:v>16</x:v>
      </x:c>
      <x:c r="G40" s="56" t="str">
        <x:v>17</x:v>
      </x:c>
      <x:c r="H40" s="56"/>
      <x:c r="I40" s="56" t="n">
        <x:f>IF(ISBLANK(C55),0,IF(ISNUMBER(C55),IF(AND(C55&gt;=0,C55&lt;=4,MOD(C55,1)=0),1,-1),-1))</x:f>
        <x:v>0</x:v>
      </x:c>
      <x:c r="J40" s="56" t="n">
        <x:f>IF(I40=1,IF(C55='Chẩn đoán'!N32,1,0),0)</x:f>
        <x:v>0</x:v>
      </x:c>
      <x:c r="K40" s="56"/>
      <x:c r="L40" s="56"/>
      <x:c r="M40" s="56"/>
      <x:c r="N40" s="56"/>
      <x:c r="O40" s="56"/>
      <x:c r="P40" s="56"/>
      <x:c r="Q40" s="56"/>
      <x:c r="R40" s="56"/>
      <x:c r="S40" s="56"/>
      <x:c r="T40" s="56"/>
      <x:c r="U40" s="56"/>
      <x:c r="V40" s="56"/>
      <x:c r="W40" s="56"/>
      <x:c r="X40" s="56"/>
      <x:c r="Y40" s="56"/>
    </x:row>
    <x:row r="41" ht="28" customHeight="1">
      <x:c r="A41" s="56" t="str">
        <x:v>Bạn chọn</x:v>
      </x:c>
      <x:c r="B41" s="63"/>
      <x:c r="C41" s="63"/>
      <x:c r="D41" s="63"/>
      <x:c r="E41" s="63"/>
      <x:c r="F41" s="63"/>
      <x:c r="G41" s="63"/>
      <x:c r="H41" s="56"/>
      <x:c r="I41" s="56" t="n">
        <x:f>IF(ISBLANK(D55),0,IF(ISNUMBER(D55),IF(AND(D55&gt;=0,D55&lt;=4,MOD(D55,1)=0),1,-1),-1))</x:f>
        <x:v>0</x:v>
      </x:c>
      <x:c r="J41" s="56" t="n">
        <x:f>IF(I41=1,IF(D55='Chẩn đoán'!N33,1,0),0)</x:f>
        <x:v>0</x:v>
      </x:c>
      <x:c r="K41" s="56"/>
      <x:c r="L41" s="56"/>
      <x:c r="M41" s="56"/>
      <x:c r="N41" s="56"/>
      <x:c r="O41" s="56"/>
      <x:c r="P41" s="56"/>
      <x:c r="Q41" s="56"/>
      <x:c r="R41" s="56"/>
      <x:c r="S41" s="56"/>
      <x:c r="T41" s="56"/>
      <x:c r="U41" s="56"/>
      <x:c r="V41" s="56"/>
      <x:c r="W41" s="56"/>
      <x:c r="X41" s="56"/>
      <x:c r="Y41" s="56"/>
    </x:row>
    <x:row r="42" ht="28" customHeight="1">
      <x:c r="A42" s="56" t="str">
        <x:v>Câu tiếp</x:v>
      </x:c>
      <x:c r="B42" s="56" t="str">
        <x:v>26</x:v>
      </x:c>
      <x:c r="C42" s="56" t="str">
        <x:v>27</x:v>
      </x:c>
      <x:c r="D42" s="56" t="str">
        <x:v>31</x:v>
      </x:c>
      <x:c r="E42" s="56" t="str">
        <x:v>32</x:v>
      </x:c>
      <x:c r="F42" s="56"/>
      <x:c r="G42" s="56"/>
      <x:c r="H42" s="56"/>
      <x:c r="I42" s="56" t="n">
        <x:f>IF(ISBLANK(E55),0,IF(ISNUMBER(E55),IF(AND(E55&gt;=0,E55&lt;=4,MOD(E55,1)=0),1,-1),-1))</x:f>
        <x:v>0</x:v>
      </x:c>
      <x:c r="J42" s="56" t="n">
        <x:f>IF(I42=1,IF(E55='Chẩn đoán'!N34,1,0),0)</x:f>
        <x:v>0</x:v>
      </x:c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6"/>
      <x:c r="V42" s="56"/>
      <x:c r="W42" s="56"/>
      <x:c r="X42" s="56"/>
      <x:c r="Y42" s="56"/>
    </x:row>
    <x:row r="43" ht="28" customHeight="1">
      <x:c r="A43" s="56" t="str">
        <x:v>Bạn chọn</x:v>
      </x:c>
      <x:c r="B43" s="63"/>
      <x:c r="C43" s="63"/>
      <x:c r="D43" s="63"/>
      <x:c r="E43" s="63"/>
      <x:c r="F43" s="56"/>
      <x:c r="G43" s="56"/>
      <x:c r="H43" s="56"/>
      <x:c r="I43" s="56" t="n">
        <x:f>IF(ISBLANK(F55),0,IF(ISNUMBER(F55),IF(AND(F55&gt;=0,F55&lt;=4,MOD(F55,1)=0),1,-1),-1))</x:f>
        <x:v>0</x:v>
      </x:c>
      <x:c r="J43" s="56" t="n">
        <x:f>IF(I43=1,IF(F55='Chẩn đoán'!N35,1,0),0)</x:f>
        <x:v>0</x:v>
      </x:c>
      <x:c r="K43" s="56"/>
      <x:c r="L43" s="56"/>
      <x:c r="M43" s="56"/>
      <x:c r="N43" s="56"/>
      <x:c r="O43" s="56"/>
      <x:c r="P43" s="56"/>
      <x:c r="Q43" s="56"/>
      <x:c r="R43" s="56"/>
      <x:c r="S43" s="56"/>
      <x:c r="T43" s="56"/>
      <x:c r="U43" s="56"/>
      <x:c r="V43" s="56"/>
      <x:c r="W43" s="56"/>
      <x:c r="X43" s="56"/>
      <x:c r="Y43" s="56"/>
    </x:row>
    <x:row r="44" ht="28" customHeight="1">
      <x:c r="A44" s="56" t="str">
        <x:v>Ngày thật</x:v>
      </x:c>
      <x:c r="B44" s="64"/>
      <x:c r="C44" s="56" t="str">
        <x:v>Phút làm</x:v>
      </x:c>
      <x:c r="D44" s="61"/>
      <x:c r="E44" s="56" t="str">
        <x:v>Loại câu</x:v>
      </x:c>
      <x:c r="F44" s="61"/>
      <x:c r="G44" s="56"/>
      <x:c r="H44" s="56"/>
      <x:c r="I44" s="56" t="n">
        <x:f>IF(ISBLANK(B69),0,IF(ISNUMBER(B69),IF(AND(B69&gt;=0,B69&lt;=4,MOD(B69,1)=0),1,-1),-1))</x:f>
        <x:v>0</x:v>
      </x:c>
      <x:c r="J44" s="56" t="n">
        <x:f>IF(I44=1,IF(B69='Chẩn đoán'!N36,1,0),0)</x:f>
        <x:v>0</x:v>
      </x:c>
      <x:c r="K44" s="56"/>
      <x:c r="L44" s="56"/>
      <x:c r="M44" s="56"/>
      <x:c r="N44" s="56"/>
      <x:c r="O44" s="56"/>
      <x:c r="P44" s="56"/>
      <x:c r="Q44" s="56"/>
      <x:c r="R44" s="56"/>
      <x:c r="S44" s="56"/>
      <x:c r="T44" s="56"/>
      <x:c r="U44" s="56"/>
      <x:c r="V44" s="56"/>
      <x:c r="W44" s="56"/>
      <x:c r="X44" s="56"/>
      <x:c r="Y44" s="56"/>
    </x:row>
    <x:row r="45" ht="28" customHeight="1">
      <x:c r="A45" s="56" t="str">
        <x:v>Chấm sau giờ</x:v>
      </x:c>
      <x:c r="B45" s="61"/>
      <x:c r="C45" s="56"/>
      <x:c r="D45" s="56" t="str">
        <x:v>Dở dang: để nguyên; chưa chọn Xong.</x:v>
      </x:c>
      <x:c r="E45" s="56"/>
      <x:c r="F45" s="56"/>
      <x:c r="G45" s="56"/>
      <x:c r="H45" s="56"/>
      <x:c r="I45" s="56" t="n">
        <x:f>IF(ISBLANK(C69),0,IF(ISNUMBER(C69),IF(AND(C69&gt;=0,C69&lt;=4,MOD(C69,1)=0),1,-1),-1))</x:f>
        <x:v>0</x:v>
      </x:c>
      <x:c r="J45" s="56" t="n">
        <x:f>IF(I45=1,IF(C69='Chẩn đoán'!N37,1,0),0)</x:f>
        <x:v>0</x:v>
      </x:c>
      <x:c r="K45" s="56"/>
      <x:c r="L45" s="56"/>
      <x:c r="M45" s="56"/>
      <x:c r="N45" s="56"/>
      <x:c r="O45" s="56"/>
      <x:c r="P45" s="56"/>
      <x:c r="Q45" s="56"/>
      <x:c r="R45" s="56"/>
      <x:c r="S45" s="56"/>
      <x:c r="T45" s="56"/>
      <x:c r="U45" s="56"/>
      <x:c r="V45" s="56"/>
      <x:c r="W45" s="56"/>
      <x:c r="X45" s="56"/>
      <x:c r="Y45" s="56"/>
    </x:row>
    <x:row r="46" ht="32" customHeight="1">
      <x:c r="A46" s="56" t="str">
        <x:v>Trạng thái</x:v>
      </x:c>
      <x:c r="B46" s="66" t="str">
        <x:f>P174</x:f>
        <x:v>Chưa làm</x:v>
      </x:c>
      <x:c r="C46" s="66"/>
      <x:c r="D46" s="66"/>
      <x:c r="E46" s="66"/>
      <x:c r="F46" s="66"/>
      <x:c r="G46" s="66"/>
      <x:c r="H46" s="56"/>
      <x:c r="I46" s="56" t="n">
        <x:f>IF(ISBLANK(D69),0,IF(ISNUMBER(D69),IF(AND(D69&gt;=0,D69&lt;=4,MOD(D69,1)=0),1,-1),-1))</x:f>
        <x:v>0</x:v>
      </x:c>
      <x:c r="J46" s="56" t="n">
        <x:f>IF(I46=1,IF(D69='Chẩn đoán'!N38,1,0),0)</x:f>
        <x:v>0</x:v>
      </x:c>
      <x:c r="K46" s="56"/>
      <x:c r="L46" s="56"/>
      <x:c r="M46" s="56"/>
      <x:c r="N46" s="56"/>
      <x:c r="O46" s="56"/>
      <x:c r="P46" s="56"/>
      <x:c r="Q46" s="56"/>
      <x:c r="R46" s="56"/>
      <x:c r="S46" s="56"/>
      <x:c r="T46" s="56"/>
      <x:c r="U46" s="56"/>
      <x:c r="V46" s="56"/>
      <x:c r="W46" s="56"/>
      <x:c r="X46" s="56"/>
      <x:c r="Y46" s="56"/>
    </x:row>
    <x:row r="47" ht="32" customHeight="1">
      <x:c r="A47" s="56" t="str">
        <x:v>Kết quả</x:v>
      </x:c>
      <x:c r="B47" s="66" t="str">
        <x:f>IF(AND(B45="Xong",R174=K174,S174=0),T174&amp;"/"&amp;K174&amp;" đúng; 0 vẫn tính bỏ câu","Đã ghi "&amp;R174&amp;"/"&amp;K174&amp;"; chưa hiện điểm")</x:f>
        <x:v>Đã ghi 0/10; chưa hiện điểm</x:v>
      </x:c>
      <x:c r="C47" s="66"/>
      <x:c r="D47" s="66"/>
      <x:c r="E47" s="66"/>
      <x:c r="F47" s="66"/>
      <x:c r="G47" s="66"/>
      <x:c r="H47" s="56"/>
      <x:c r="I47" s="56" t="n">
        <x:f>IF(ISBLANK(E69),0,IF(ISNUMBER(E69),IF(AND(E69&gt;=0,E69&lt;=4,MOD(E69,1)=0),1,-1),-1))</x:f>
        <x:v>0</x:v>
      </x:c>
      <x:c r="J47" s="56" t="n">
        <x:f>IF(I47=1,IF(E69='Chẩn đoán'!N39,1,0),0)</x:f>
        <x:v>0</x:v>
      </x:c>
      <x:c r="K47" s="56"/>
      <x:c r="L47" s="56"/>
      <x:c r="M47" s="56"/>
      <x:c r="N47" s="56"/>
      <x:c r="O47" s="56"/>
      <x:c r="P47" s="56"/>
      <x:c r="Q47" s="56"/>
      <x:c r="R47" s="56"/>
      <x:c r="S47" s="56"/>
      <x:c r="T47" s="56"/>
      <x:c r="U47" s="56"/>
      <x:c r="V47" s="56"/>
      <x:c r="W47" s="56"/>
      <x:c r="X47" s="56"/>
      <x:c r="Y47" s="56"/>
    </x:row>
    <x:row r="48" ht="32" customHeight="1">
      <x:c r="A48" s="56" t="str">
        <x:v>Câu cần sửa</x:v>
      </x:c>
      <x:c r="B48" s="66" t="str">
        <x:f>IF(AND(B45="Xong",R174=K174,S174=0),IF(X174="","Không có câu sai/bỏ",X174),"Chỉ hiện sau khi làm xong")</x:f>
        <x:v>Chỉ hiện sau khi làm xong</x:v>
      </x:c>
      <x:c r="C48" s="66"/>
      <x:c r="D48" s="66"/>
      <x:c r="E48" s="66"/>
      <x:c r="F48" s="66"/>
      <x:c r="G48" s="66"/>
      <x:c r="H48" s="56"/>
      <x:c r="I48" s="56" t="n">
        <x:f>IF(ISBLANK(B83),0,IF(ISNUMBER(B83),IF(AND(B83&gt;=0,B83&lt;=3,MOD(B83,1)=0),1,-1),-1))</x:f>
        <x:v>0</x:v>
      </x:c>
      <x:c r="J48" s="56" t="n">
        <x:f>IF(I48=1,IF(B83='Chẩn đoán'!N40,1,0),0)</x:f>
        <x:v>0</x:v>
      </x:c>
      <x:c r="K48" s="56"/>
      <x:c r="L48" s="56"/>
      <x:c r="M48" s="56"/>
      <x:c r="N48" s="56"/>
      <x:c r="O48" s="56"/>
      <x:c r="P48" s="56"/>
      <x:c r="Q48" s="56"/>
      <x:c r="R48" s="56"/>
      <x:c r="S48" s="56"/>
      <x:c r="T48" s="56"/>
      <x:c r="U48" s="56"/>
      <x:c r="V48" s="56"/>
      <x:c r="W48" s="56"/>
      <x:c r="X48" s="56"/>
      <x:c r="Y48" s="56"/>
    </x:row>
    <x:row r="49" ht="28" customHeight="1">
      <x:c r="A49" s="56" t="str">
        <x:v>Lỗi chính</x:v>
      </x:c>
      <x:c r="B49" s="61"/>
      <x:c r="C49" s="56"/>
      <x:c r="D49" s="56"/>
      <x:c r="E49" s="58" t="str">
        <x:v>Xem tuần</x:v>
      </x:c>
      <x:c r="F49" s="56"/>
      <x:c r="G49" s="56"/>
      <x:c r="H49" s="56"/>
      <x:c r="I49" s="56" t="n">
        <x:f>IF(ISBLANK(C83),0,IF(ISNUMBER(C83),IF(AND(C83&gt;=0,C83&lt;=3,MOD(C83,1)=0),1,-1),-1))</x:f>
        <x:v>0</x:v>
      </x:c>
      <x:c r="J49" s="56" t="n">
        <x:f>IF(I49=1,IF(C83='Chẩn đoán'!N41,1,0),0)</x:f>
        <x:v>0</x:v>
      </x:c>
      <x:c r="K49" s="56"/>
      <x:c r="L49" s="56"/>
      <x:c r="M49" s="56"/>
      <x:c r="N49" s="56"/>
      <x:c r="O49" s="56"/>
      <x:c r="P49" s="56"/>
      <x:c r="Q49" s="56"/>
      <x:c r="R49" s="56"/>
      <x:c r="S49" s="56"/>
      <x:c r="T49" s="56"/>
      <x:c r="U49" s="56"/>
      <x:c r="V49" s="56"/>
      <x:c r="W49" s="56"/>
      <x:c r="X49" s="56"/>
      <x:c r="Y49" s="56"/>
    </x:row>
    <x:row r="50" ht="32" customHeight="1">
      <x:c r="A50" s="56" t="str">
        <x:v>Tiếp theo</x:v>
      </x:c>
      <x:c r="B50" s="66" t="str">
        <x:f>IF(P174="Đã chấm","Chọn 1 lỗi để chữa 5-10 phút rồi dừng.",IF(P174="Trùng hai chế độ","Giữ lịch sử ở Chẩn đoán; xóa bản nhập trùng ở đây.","Hoàn tất khi đủ sức; không ép làm khối tiếp."))</x:f>
        <x:v>Hoàn tất khi đủ sức; không ép làm khối tiếp.</x:v>
      </x:c>
      <x:c r="C50" s="66"/>
      <x:c r="D50" s="66"/>
      <x:c r="E50" s="66"/>
      <x:c r="F50" s="66"/>
      <x:c r="G50" s="66"/>
      <x:c r="H50" s="56"/>
      <x:c r="I50" s="56" t="n">
        <x:f>IF(ISBLANK(D83),0,IF(ISNUMBER(D83),IF(AND(D83&gt;=0,D83&lt;=3,MOD(D83,1)=0),1,-1),-1))</x:f>
        <x:v>0</x:v>
      </x:c>
      <x:c r="J50" s="56" t="n">
        <x:f>IF(I50=1,IF(D83='Chẩn đoán'!N42,1,0),0)</x:f>
        <x:v>0</x:v>
      </x:c>
      <x:c r="K50" s="56"/>
      <x:c r="L50" s="56"/>
      <x:c r="M50" s="56"/>
      <x:c r="N50" s="56"/>
      <x:c r="O50" s="56"/>
      <x:c r="P50" s="56"/>
      <x:c r="Q50" s="56"/>
      <x:c r="R50" s="56"/>
      <x:c r="S50" s="56"/>
      <x:c r="T50" s="56"/>
      <x:c r="U50" s="56"/>
      <x:c r="V50" s="56"/>
      <x:c r="W50" s="56"/>
      <x:c r="X50" s="56"/>
      <x:c r="Y50" s="56"/>
    </x:row>
    <x:row r="51" ht="28" customHeight="1">
      <x:c r="A51" s="56"/>
      <x:c r="B51" s="56"/>
      <x:c r="C51" s="56"/>
      <x:c r="D51" s="56"/>
      <x:c r="E51" s="56"/>
      <x:c r="F51" s="56"/>
      <x:c r="G51" s="56"/>
      <x:c r="H51" s="56"/>
      <x:c r="I51" s="56" t="n">
        <x:f>IF(ISBLANK(E83),0,IF(ISNUMBER(E83),IF(AND(E83&gt;=0,E83&lt;=3,MOD(E83,1)=0),1,-1),-1))</x:f>
        <x:v>0</x:v>
      </x:c>
      <x:c r="J51" s="56" t="n">
        <x:f>IF(I51=1,IF(E83='Chẩn đoán'!N43,1,0),0)</x:f>
        <x:v>0</x:v>
      </x:c>
      <x:c r="K51" s="56"/>
      <x:c r="L51" s="56"/>
      <x:c r="M51" s="56"/>
      <x:c r="N51" s="56"/>
      <x:c r="O51" s="56"/>
      <x:c r="P51" s="56"/>
      <x:c r="Q51" s="56"/>
      <x:c r="R51" s="56"/>
      <x:c r="S51" s="56"/>
      <x:c r="T51" s="56"/>
      <x:c r="U51" s="56"/>
      <x:c r="V51" s="56"/>
      <x:c r="W51" s="56"/>
      <x:c r="X51" s="56"/>
      <x:c r="Y51" s="56"/>
    </x:row>
    <x:row r="52" ht="30" customHeight="1">
      <x:c r="A52" s="60" t="str">
        <x:v>N4-R · Đọc · 15 phút làm</x:v>
      </x:c>
      <x:c r="B52" s="60"/>
      <x:c r="C52" s="60"/>
      <x:c r="D52" s="60"/>
      <x:c r="E52" s="60"/>
      <x:c r="F52" s="60"/>
      <x:c r="G52" s="60"/>
      <x:c r="H52" s="56"/>
      <x:c r="I52" s="56" t="n">
        <x:f>IF(ISBLANK(B97),0,IF(ISNUMBER(B97),IF(AND(B97&gt;=0,B97&lt;=4,MOD(B97,1)=0),1,-1),-1))</x:f>
        <x:v>0</x:v>
      </x:c>
      <x:c r="J52" s="56" t="n">
        <x:f>IF(I52=1,IF(B97='Chẩn đoán'!N44,1,0),0)</x:f>
        <x:v>0</x:v>
      </x:c>
      <x:c r="K52" s="56"/>
      <x:c r="L52" s="56"/>
      <x:c r="M52" s="56"/>
      <x:c r="N52" s="56"/>
      <x:c r="O52" s="56"/>
      <x:c r="P52" s="56"/>
      <x:c r="Q52" s="56"/>
      <x:c r="R52" s="56"/>
      <x:c r="S52" s="56"/>
      <x:c r="T52" s="56"/>
      <x:c r="U52" s="56"/>
      <x:c r="V52" s="56"/>
      <x:c r="W52" s="56"/>
      <x:c r="X52" s="56"/>
      <x:c r="Y52" s="56"/>
    </x:row>
    <x:row r="53" ht="28" customHeight="1">
      <x:c r="A53" s="56" t="str">
        <x:v>Nguồn JLPT</x:v>
      </x:c>
      <x:c r="B53" s="58" t="str">
        <x:v>Mở đề</x:v>
      </x:c>
      <x:c r="C53" s="56"/>
      <x:c r="D53" s="56"/>
      <x:c r="E53" s="58" t="str">
        <x:v>Khóa sau khi làm</x:v>
      </x:c>
      <x:c r="F53" s="56"/>
      <x:c r="G53" s="56"/>
      <x:c r="H53" s="56"/>
      <x:c r="I53" s="56" t="n">
        <x:f>IF(ISBLANK(C97),0,IF(ISNUMBER(C97),IF(AND(C97&gt;=0,C97&lt;=4,MOD(C97,1)=0),1,-1),-1))</x:f>
        <x:v>0</x:v>
      </x:c>
      <x:c r="J53" s="56" t="n">
        <x:f>IF(I53=1,IF(C97='Chẩn đoán'!N45,1,0),0)</x:f>
        <x:v>0</x:v>
      </x:c>
      <x:c r="K53" s="56"/>
      <x:c r="L53" s="56"/>
      <x:c r="M53" s="56"/>
      <x:c r="N53" s="56"/>
      <x:c r="O53" s="56"/>
      <x:c r="P53" s="56"/>
      <x:c r="Q53" s="56"/>
      <x:c r="R53" s="56"/>
      <x:c r="S53" s="56"/>
      <x:c r="T53" s="56"/>
      <x:c r="U53" s="56"/>
      <x:c r="V53" s="56"/>
      <x:c r="W53" s="56"/>
      <x:c r="X53" s="56"/>
      <x:c r="Y53" s="56"/>
    </x:row>
    <x:row r="54" ht="28" customHeight="1">
      <x:c r="A54" s="56" t="str">
        <x:v>Câu</x:v>
      </x:c>
      <x:c r="B54" s="56" t="str">
        <x:v>26</x:v>
      </x:c>
      <x:c r="C54" s="56" t="str">
        <x:v>30</x:v>
      </x:c>
      <x:c r="D54" s="56" t="str">
        <x:v>31</x:v>
      </x:c>
      <x:c r="E54" s="56" t="str">
        <x:v>32</x:v>
      </x:c>
      <x:c r="F54" s="56" t="str">
        <x:v>33</x:v>
      </x:c>
      <x:c r="G54" s="56"/>
      <x:c r="H54" s="56"/>
      <x:c r="I54" s="56" t="n">
        <x:f>IF(ISBLANK(D97),0,IF(ISNUMBER(D97),IF(AND(D97&gt;=0,D97&lt;=4,MOD(D97,1)=0),1,-1),-1))</x:f>
        <x:v>0</x:v>
      </x:c>
      <x:c r="J54" s="56" t="n">
        <x:f>IF(I54=1,IF(D97='Chẩn đoán'!N46,1,0),0)</x:f>
        <x:v>0</x:v>
      </x:c>
      <x:c r="K54" s="56"/>
      <x:c r="L54" s="56"/>
      <x:c r="M54" s="56"/>
      <x:c r="N54" s="56"/>
      <x:c r="O54" s="56"/>
      <x:c r="P54" s="56"/>
      <x:c r="Q54" s="56"/>
      <x:c r="R54" s="56"/>
      <x:c r="S54" s="56"/>
      <x:c r="T54" s="56"/>
      <x:c r="U54" s="56"/>
      <x:c r="V54" s="56"/>
      <x:c r="W54" s="56"/>
      <x:c r="X54" s="56"/>
      <x:c r="Y54" s="56"/>
    </x:row>
    <x:row r="55" ht="28" customHeight="1">
      <x:c r="A55" s="56" t="str">
        <x:v>Bạn chọn</x:v>
      </x:c>
      <x:c r="B55" s="63"/>
      <x:c r="C55" s="63"/>
      <x:c r="D55" s="63"/>
      <x:c r="E55" s="63"/>
      <x:c r="F55" s="63"/>
      <x:c r="G55" s="56"/>
      <x:c r="H55" s="56"/>
      <x:c r="I55" s="56" t="n">
        <x:f>IF(ISBLANK(E97),0,IF(ISNUMBER(E97),IF(AND(E97&gt;=0,E97&lt;=4,MOD(E97,1)=0),1,-1),-1))</x:f>
        <x:v>0</x:v>
      </x:c>
      <x:c r="J55" s="56" t="n">
        <x:f>IF(I55=1,IF(E97='Chẩn đoán'!N47,1,0),0)</x:f>
        <x:v>0</x:v>
      </x:c>
      <x:c r="K55" s="56"/>
      <x:c r="L55" s="56"/>
      <x:c r="M55" s="56"/>
      <x:c r="N55" s="56"/>
      <x:c r="O55" s="56"/>
      <x:c r="P55" s="56"/>
      <x:c r="Q55" s="56"/>
      <x:c r="R55" s="56"/>
      <x:c r="S55" s="56"/>
      <x:c r="T55" s="56"/>
      <x:c r="U55" s="56"/>
      <x:c r="V55" s="56"/>
      <x:c r="W55" s="56"/>
      <x:c r="X55" s="56"/>
      <x:c r="Y55" s="56"/>
    </x:row>
    <x:row r="56" ht="28" customHeight="1">
      <x:c r="A56" s="56"/>
      <x:c r="B56" s="56"/>
      <x:c r="C56" s="56"/>
      <x:c r="D56" s="56"/>
      <x:c r="E56" s="56"/>
      <x:c r="F56" s="56"/>
      <x:c r="G56" s="56"/>
      <x:c r="H56" s="56"/>
      <x:c r="I56" s="56" t="n">
        <x:f>IF(ISBLANK(F97),0,IF(ISNUMBER(F97),IF(AND(F97&gt;=0,F97&lt;=4,MOD(F97,1)=0),1,-1),-1))</x:f>
        <x:v>0</x:v>
      </x:c>
      <x:c r="J56" s="56" t="n">
        <x:f>IF(I56=1,IF(F97='Chẩn đoán'!N48,1,0),0)</x:f>
        <x:v>0</x:v>
      </x:c>
      <x:c r="K56" s="56"/>
      <x:c r="L56" s="56"/>
      <x:c r="M56" s="56"/>
      <x:c r="N56" s="56"/>
      <x:c r="O56" s="56"/>
      <x:c r="P56" s="56"/>
      <x:c r="Q56" s="56"/>
      <x:c r="R56" s="56"/>
      <x:c r="S56" s="56"/>
      <x:c r="T56" s="56"/>
      <x:c r="U56" s="56"/>
      <x:c r="V56" s="56"/>
      <x:c r="W56" s="56"/>
      <x:c r="X56" s="56"/>
      <x:c r="Y56" s="56"/>
    </x:row>
    <x:row r="57" ht="28" customHeight="1">
      <x:c r="A57" s="56"/>
      <x:c r="B57" s="56"/>
      <x:c r="C57" s="56"/>
      <x:c r="D57" s="56"/>
      <x:c r="E57" s="56"/>
      <x:c r="F57" s="56"/>
      <x:c r="G57" s="56"/>
      <x:c r="H57" s="56"/>
      <x:c r="I57" s="56" t="n">
        <x:f>IF(ISBLANK(G97),0,IF(ISNUMBER(G97),IF(AND(G97&gt;=0,G97&lt;=4,MOD(G97,1)=0),1,-1),-1))</x:f>
        <x:v>0</x:v>
      </x:c>
      <x:c r="J57" s="56" t="n">
        <x:f>IF(I57=1,IF(G97='Chẩn đoán'!N49,1,0),0)</x:f>
        <x:v>0</x:v>
      </x:c>
      <x:c r="K57" s="56"/>
      <x:c r="L57" s="56"/>
      <x:c r="M57" s="56"/>
      <x:c r="N57" s="56"/>
      <x:c r="O57" s="56"/>
      <x:c r="P57" s="56"/>
      <x:c r="Q57" s="56"/>
      <x:c r="R57" s="56"/>
      <x:c r="S57" s="56"/>
      <x:c r="T57" s="56"/>
      <x:c r="U57" s="56"/>
      <x:c r="V57" s="56"/>
      <x:c r="W57" s="56"/>
      <x:c r="X57" s="56"/>
      <x:c r="Y57" s="56"/>
    </x:row>
    <x:row r="58" ht="28" customHeight="1">
      <x:c r="A58" s="56" t="str">
        <x:v>Ngày thật</x:v>
      </x:c>
      <x:c r="B58" s="64"/>
      <x:c r="C58" s="56" t="str">
        <x:v>Phút làm</x:v>
      </x:c>
      <x:c r="D58" s="61"/>
      <x:c r="E58" s="56" t="str">
        <x:v>Loại câu</x:v>
      </x:c>
      <x:c r="F58" s="61"/>
      <x:c r="G58" s="56"/>
      <x:c r="H58" s="56"/>
      <x:c r="I58" s="56" t="n">
        <x:f>IF(ISBLANK(B111),0,IF(ISNUMBER(B111),IF(AND(B111&gt;=0,B111&lt;=4,MOD(B111,1)=0),1,-1),-1))</x:f>
        <x:v>0</x:v>
      </x:c>
      <x:c r="J58" s="56" t="n">
        <x:f>IF(I58=1,IF(B111='Chẩn đoán'!N50,1,0),0)</x:f>
        <x:v>0</x:v>
      </x:c>
      <x:c r="K58" s="56"/>
      <x:c r="L58" s="56"/>
      <x:c r="M58" s="56"/>
      <x:c r="N58" s="56"/>
      <x:c r="O58" s="56"/>
      <x:c r="P58" s="56"/>
      <x:c r="Q58" s="56"/>
      <x:c r="R58" s="56"/>
      <x:c r="S58" s="56"/>
      <x:c r="T58" s="56"/>
      <x:c r="U58" s="56"/>
      <x:c r="V58" s="56"/>
      <x:c r="W58" s="56"/>
      <x:c r="X58" s="56"/>
      <x:c r="Y58" s="56"/>
    </x:row>
    <x:row r="59" ht="28" customHeight="1">
      <x:c r="A59" s="56" t="str">
        <x:v>Chấm sau giờ</x:v>
      </x:c>
      <x:c r="B59" s="61"/>
      <x:c r="C59" s="56"/>
      <x:c r="D59" s="56" t="str">
        <x:v>Dở dang: để nguyên; chưa chọn Xong.</x:v>
      </x:c>
      <x:c r="E59" s="56"/>
      <x:c r="F59" s="56"/>
      <x:c r="G59" s="56"/>
      <x:c r="H59" s="56"/>
      <x:c r="I59" s="56" t="n">
        <x:f>IF(ISBLANK(C111),0,IF(ISNUMBER(C111),IF(AND(C111&gt;=0,C111&lt;=4,MOD(C111,1)=0),1,-1),-1))</x:f>
        <x:v>0</x:v>
      </x:c>
      <x:c r="J59" s="56" t="n">
        <x:f>IF(I59=1,IF(C111='Chẩn đoán'!N51,1,0),0)</x:f>
        <x:v>0</x:v>
      </x:c>
      <x:c r="K59" s="56"/>
      <x:c r="L59" s="56"/>
      <x:c r="M59" s="56"/>
      <x:c r="N59" s="56"/>
      <x:c r="O59" s="56"/>
      <x:c r="P59" s="56"/>
      <x:c r="Q59" s="56"/>
      <x:c r="R59" s="56"/>
      <x:c r="S59" s="56"/>
      <x:c r="T59" s="56"/>
      <x:c r="U59" s="56"/>
      <x:c r="V59" s="56"/>
      <x:c r="W59" s="56"/>
      <x:c r="X59" s="56"/>
      <x:c r="Y59" s="56"/>
    </x:row>
    <x:row r="60" ht="32" customHeight="1">
      <x:c r="A60" s="56" t="str">
        <x:v>Trạng thái</x:v>
      </x:c>
      <x:c r="B60" s="66" t="str">
        <x:f>P175</x:f>
        <x:v>Chưa làm</x:v>
      </x:c>
      <x:c r="C60" s="66"/>
      <x:c r="D60" s="66"/>
      <x:c r="E60" s="66"/>
      <x:c r="F60" s="66"/>
      <x:c r="G60" s="66"/>
      <x:c r="H60" s="56"/>
      <x:c r="I60" s="56" t="n">
        <x:f>IF(ISBLANK(D111),0,IF(ISNUMBER(D111),IF(AND(D111&gt;=0,D111&lt;=4,MOD(D111,1)=0),1,-1),-1))</x:f>
        <x:v>0</x:v>
      </x:c>
      <x:c r="J60" s="56" t="n">
        <x:f>IF(I60=1,IF(D111='Chẩn đoán'!N52,1,0),0)</x:f>
        <x:v>0</x:v>
      </x:c>
      <x:c r="K60" s="56"/>
      <x:c r="L60" s="56"/>
      <x:c r="M60" s="56"/>
      <x:c r="N60" s="56"/>
      <x:c r="O60" s="56"/>
      <x:c r="P60" s="56"/>
      <x:c r="Q60" s="56"/>
      <x:c r="R60" s="56"/>
      <x:c r="S60" s="56"/>
      <x:c r="T60" s="56"/>
      <x:c r="U60" s="56"/>
      <x:c r="V60" s="56"/>
      <x:c r="W60" s="56"/>
      <x:c r="X60" s="56"/>
      <x:c r="Y60" s="56"/>
    </x:row>
    <x:row r="61" ht="32" customHeight="1">
      <x:c r="A61" s="56" t="str">
        <x:v>Kết quả</x:v>
      </x:c>
      <x:c r="B61" s="66" t="str">
        <x:f>IF(AND(B59="Xong",R175=K175,S175=0),T175&amp;"/"&amp;K175&amp;" đúng; 0 vẫn tính bỏ câu","Đã ghi "&amp;R175&amp;"/"&amp;K175&amp;"; chưa hiện điểm")</x:f>
        <x:v>Đã ghi 0/5; chưa hiện điểm</x:v>
      </x:c>
      <x:c r="C61" s="66"/>
      <x:c r="D61" s="66"/>
      <x:c r="E61" s="66"/>
      <x:c r="F61" s="66"/>
      <x:c r="G61" s="66"/>
      <x:c r="H61" s="56"/>
      <x:c r="I61" s="56" t="n">
        <x:f>IF(ISBLANK(E111),0,IF(ISNUMBER(E111),IF(AND(E111&gt;=0,E111&lt;=4,MOD(E111,1)=0),1,-1),-1))</x:f>
        <x:v>0</x:v>
      </x:c>
      <x:c r="J61" s="56" t="n">
        <x:f>IF(I61=1,IF(E111='Chẩn đoán'!N53,1,0),0)</x:f>
        <x:v>0</x:v>
      </x:c>
      <x:c r="K61" s="56"/>
      <x:c r="L61" s="56"/>
      <x:c r="M61" s="56"/>
      <x:c r="N61" s="56"/>
      <x:c r="O61" s="56"/>
      <x:c r="P61" s="56"/>
      <x:c r="Q61" s="56"/>
      <x:c r="R61" s="56"/>
      <x:c r="S61" s="56"/>
      <x:c r="T61" s="56"/>
      <x:c r="U61" s="56"/>
      <x:c r="V61" s="56"/>
      <x:c r="W61" s="56"/>
      <x:c r="X61" s="56"/>
      <x:c r="Y61" s="56"/>
    </x:row>
    <x:row r="62" ht="32" customHeight="1">
      <x:c r="A62" s="56" t="str">
        <x:v>Câu cần sửa</x:v>
      </x:c>
      <x:c r="B62" s="66" t="str">
        <x:f>IF(AND(B59="Xong",R175=K175,S175=0),IF(X175="","Không có câu sai/bỏ",X175),"Chỉ hiện sau khi làm xong")</x:f>
        <x:v>Chỉ hiện sau khi làm xong</x:v>
      </x:c>
      <x:c r="C62" s="66"/>
      <x:c r="D62" s="66"/>
      <x:c r="E62" s="66"/>
      <x:c r="F62" s="66"/>
      <x:c r="G62" s="66"/>
      <x:c r="H62" s="56"/>
      <x:c r="I62" s="56" t="n">
        <x:f>IF(ISBLANK(F111),0,IF(ISNUMBER(F111),IF(AND(F111&gt;=0,F111&lt;=4,MOD(F111,1)=0),1,-1),-1))</x:f>
        <x:v>0</x:v>
      </x:c>
      <x:c r="J62" s="56" t="n">
        <x:f>IF(I62=1,IF(F111='Chẩn đoán'!N54,1,0),0)</x:f>
        <x:v>0</x:v>
      </x:c>
      <x:c r="K62" s="56"/>
      <x:c r="L62" s="56"/>
      <x:c r="M62" s="56"/>
      <x:c r="N62" s="56"/>
      <x:c r="O62" s="56"/>
      <x:c r="P62" s="56"/>
      <x:c r="Q62" s="56"/>
      <x:c r="R62" s="56"/>
      <x:c r="S62" s="56"/>
      <x:c r="T62" s="56"/>
      <x:c r="U62" s="56"/>
      <x:c r="V62" s="56"/>
      <x:c r="W62" s="56"/>
      <x:c r="X62" s="56"/>
      <x:c r="Y62" s="56"/>
    </x:row>
    <x:row r="63" ht="28" customHeight="1">
      <x:c r="A63" s="56" t="str">
        <x:v>Lỗi chính</x:v>
      </x:c>
      <x:c r="B63" s="61"/>
      <x:c r="C63" s="56"/>
      <x:c r="D63" s="56"/>
      <x:c r="E63" s="58" t="str">
        <x:v>Xem tuần</x:v>
      </x:c>
      <x:c r="F63" s="56"/>
      <x:c r="G63" s="56"/>
      <x:c r="H63" s="56"/>
      <x:c r="I63" s="56" t="n">
        <x:f>IF(ISBLANK(G111),0,IF(ISNUMBER(G111),IF(AND(G111&gt;=0,G111&lt;=4,MOD(G111,1)=0),1,-1),-1))</x:f>
        <x:v>0</x:v>
      </x:c>
      <x:c r="J63" s="56" t="n">
        <x:f>IF(I63=1,IF(G111='Chẩn đoán'!N55,1,0),0)</x:f>
        <x:v>0</x:v>
      </x:c>
      <x:c r="K63" s="56"/>
      <x:c r="L63" s="56"/>
      <x:c r="M63" s="56"/>
      <x:c r="N63" s="56"/>
      <x:c r="O63" s="56"/>
      <x:c r="P63" s="56"/>
      <x:c r="Q63" s="56"/>
      <x:c r="R63" s="56"/>
      <x:c r="S63" s="56"/>
      <x:c r="T63" s="56"/>
      <x:c r="U63" s="56"/>
      <x:c r="V63" s="56"/>
      <x:c r="W63" s="56"/>
      <x:c r="X63" s="56"/>
      <x:c r="Y63" s="56"/>
    </x:row>
    <x:row r="64" ht="32" customHeight="1">
      <x:c r="A64" s="56" t="str">
        <x:v>Tiếp theo</x:v>
      </x:c>
      <x:c r="B64" s="66" t="str">
        <x:f>IF(P175="Đã chấm","Chọn 1 lỗi để chữa 5-10 phút rồi dừng.",IF(P175="Trùng hai chế độ","Giữ lịch sử ở Chẩn đoán; xóa bản nhập trùng ở đây.","Hoàn tất khi đủ sức; không ép làm khối tiếp."))</x:f>
        <x:v>Hoàn tất khi đủ sức; không ép làm khối tiếp.</x:v>
      </x:c>
      <x:c r="C64" s="66"/>
      <x:c r="D64" s="66"/>
      <x:c r="E64" s="66"/>
      <x:c r="F64" s="66"/>
      <x:c r="G64" s="66"/>
      <x:c r="H64" s="56"/>
      <x:c r="I64" s="56" t="n">
        <x:f>IF(ISBLANK(B113),0,IF(ISNUMBER(B113),IF(AND(B113&gt;=0,B113&lt;=4,MOD(B113,1)=0),1,-1),-1))</x:f>
        <x:v>0</x:v>
      </x:c>
      <x:c r="J64" s="56" t="n">
        <x:f>IF(I64=1,IF(B113='Chẩn đoán'!N56,1,0),0)</x:f>
        <x:v>0</x:v>
      </x:c>
      <x:c r="K64" s="56"/>
      <x:c r="L64" s="56"/>
      <x:c r="M64" s="56"/>
      <x:c r="N64" s="56"/>
      <x:c r="O64" s="56"/>
      <x:c r="P64" s="56"/>
      <x:c r="Q64" s="56"/>
      <x:c r="R64" s="56"/>
      <x:c r="S64" s="56"/>
      <x:c r="T64" s="56"/>
      <x:c r="U64" s="56"/>
      <x:c r="V64" s="56"/>
      <x:c r="W64" s="56"/>
      <x:c r="X64" s="56"/>
      <x:c r="Y64" s="56"/>
    </x:row>
    <x:row r="65" ht="28" customHeight="1">
      <x:c r="A65" s="56"/>
      <x:c r="B65" s="56"/>
      <x:c r="C65" s="56"/>
      <x:c r="D65" s="56"/>
      <x:c r="E65" s="56"/>
      <x:c r="F65" s="56"/>
      <x:c r="G65" s="56"/>
      <x:c r="H65" s="56"/>
      <x:c r="I65" s="56" t="n">
        <x:f>IF(ISBLANK(C113),0,IF(ISNUMBER(C113),IF(AND(C113&gt;=0,C113&lt;=4,MOD(C113,1)=0),1,-1),-1))</x:f>
        <x:v>0</x:v>
      </x:c>
      <x:c r="J65" s="56" t="n">
        <x:f>IF(I65=1,IF(C113='Chẩn đoán'!N57,1,0),0)</x:f>
        <x:v>0</x:v>
      </x:c>
      <x:c r="K65" s="56"/>
      <x:c r="L65" s="56"/>
      <x:c r="M65" s="56"/>
      <x:c r="N65" s="56"/>
      <x:c r="O65" s="56"/>
      <x:c r="P65" s="56"/>
      <x:c r="Q65" s="56"/>
      <x:c r="R65" s="56"/>
      <x:c r="S65" s="56"/>
      <x:c r="T65" s="56"/>
      <x:c r="U65" s="56"/>
      <x:c r="V65" s="56"/>
      <x:c r="W65" s="56"/>
      <x:c r="X65" s="56"/>
      <x:c r="Y65" s="56"/>
    </x:row>
    <x:row r="66" ht="30" customHeight="1">
      <x:c r="A66" s="60" t="str">
        <x:v>N4-L1 · Nghe · 10 phút làm</x:v>
      </x:c>
      <x:c r="B66" s="60"/>
      <x:c r="C66" s="60"/>
      <x:c r="D66" s="60"/>
      <x:c r="E66" s="60"/>
      <x:c r="F66" s="60"/>
      <x:c r="G66" s="60"/>
      <x:c r="H66" s="56"/>
      <x:c r="I66" s="56" t="n">
        <x:f>IF(ISBLANK(D113),0,IF(ISNUMBER(D113),IF(AND(D113&gt;=0,D113&lt;=4,MOD(D113,1)=0),1,-1),-1))</x:f>
        <x:v>0</x:v>
      </x:c>
      <x:c r="J66" s="56" t="n">
        <x:f>IF(I66=1,IF(D113='Chẩn đoán'!N58,1,0),0)</x:f>
        <x:v>0</x:v>
      </x:c>
      <x:c r="K66" s="56"/>
      <x:c r="L66" s="56"/>
      <x:c r="M66" s="56"/>
      <x:c r="N66" s="56"/>
      <x:c r="O66" s="56"/>
      <x:c r="P66" s="56"/>
      <x:c r="Q66" s="56"/>
      <x:c r="R66" s="56"/>
      <x:c r="S66" s="56"/>
      <x:c r="T66" s="56"/>
      <x:c r="U66" s="56"/>
      <x:c r="V66" s="56"/>
      <x:c r="W66" s="56"/>
      <x:c r="X66" s="56"/>
      <x:c r="Y66" s="56"/>
    </x:row>
    <x:row r="67" ht="28" customHeight="1">
      <x:c r="A67" s="56" t="str">
        <x:v>Nguồn JLPT</x:v>
      </x:c>
      <x:c r="B67" s="58" t="str">
        <x:v>Mở đề</x:v>
      </x:c>
      <x:c r="C67" s="56"/>
      <x:c r="D67" s="56"/>
      <x:c r="E67" s="58" t="str">
        <x:v>Khóa sau khi làm</x:v>
      </x:c>
      <x:c r="F67" s="56"/>
      <x:c r="G67" s="56"/>
      <x:c r="H67" s="56"/>
      <x:c r="I67" s="56" t="n">
        <x:f>IF(ISBLANK(E113),0,IF(ISNUMBER(E113),IF(AND(E113&gt;=0,E113&lt;=4,MOD(E113,1)=0),1,-1),-1))</x:f>
        <x:v>0</x:v>
      </x:c>
      <x:c r="J67" s="56" t="n">
        <x:f>IF(I67=1,IF(E113='Chẩn đoán'!N59,1,0),0)</x:f>
        <x:v>0</x:v>
      </x:c>
      <x:c r="K67" s="56"/>
      <x:c r="L67" s="56"/>
      <x:c r="M67" s="56"/>
      <x:c r="N67" s="56"/>
      <x:c r="O67" s="56"/>
      <x:c r="P67" s="56"/>
      <x:c r="Q67" s="56"/>
      <x:c r="R67" s="56"/>
      <x:c r="S67" s="56"/>
      <x:c r="T67" s="56"/>
      <x:c r="U67" s="56"/>
      <x:c r="V67" s="56"/>
      <x:c r="W67" s="56"/>
      <x:c r="X67" s="56"/>
      <x:c r="Y67" s="56"/>
    </x:row>
    <x:row r="68" ht="28" customHeight="1">
      <x:c r="A68" s="56" t="str">
        <x:v>Câu</x:v>
      </x:c>
      <x:c r="B68" s="56" t="str">
        <x:v>M1-1</x:v>
      </x:c>
      <x:c r="C68" s="56" t="str">
        <x:v>M1-2</x:v>
      </x:c>
      <x:c r="D68" s="56" t="str">
        <x:v>M2-1</x:v>
      </x:c>
      <x:c r="E68" s="56" t="str">
        <x:v>M2-2</x:v>
      </x:c>
      <x:c r="F68" s="56"/>
      <x:c r="G68" s="56"/>
      <x:c r="H68" s="56"/>
      <x:c r="I68" s="56" t="n">
        <x:f>IF(ISBLANK(B125),0,IF(ISNUMBER(B125),IF(AND(B125&gt;=0,B125&lt;=4,MOD(B125,1)=0),1,-1),-1))</x:f>
        <x:v>0</x:v>
      </x:c>
      <x:c r="J68" s="56" t="n">
        <x:f>IF(I68=1,IF(B125='Chẩn đoán'!N60,1,0),0)</x:f>
        <x:v>0</x:v>
      </x:c>
      <x:c r="K68" s="56"/>
      <x:c r="L68" s="56"/>
      <x:c r="M68" s="56"/>
      <x:c r="N68" s="56"/>
      <x:c r="O68" s="56"/>
      <x:c r="P68" s="56"/>
      <x:c r="Q68" s="56"/>
      <x:c r="R68" s="56"/>
      <x:c r="S68" s="56"/>
      <x:c r="T68" s="56"/>
      <x:c r="U68" s="56"/>
      <x:c r="V68" s="56"/>
      <x:c r="W68" s="56"/>
      <x:c r="X68" s="56"/>
      <x:c r="Y68" s="56"/>
    </x:row>
    <x:row r="69" ht="28" customHeight="1">
      <x:c r="A69" s="56" t="str">
        <x:v>Bạn chọn</x:v>
      </x:c>
      <x:c r="B69" s="63"/>
      <x:c r="C69" s="63"/>
      <x:c r="D69" s="63"/>
      <x:c r="E69" s="63"/>
      <x:c r="F69" s="56"/>
      <x:c r="G69" s="56"/>
      <x:c r="H69" s="56"/>
      <x:c r="I69" s="56" t="n">
        <x:f>IF(ISBLANK(C125),0,IF(ISNUMBER(C125),IF(AND(C125&gt;=0,C125&lt;=4,MOD(C125,1)=0),1,-1),-1))</x:f>
        <x:v>0</x:v>
      </x:c>
      <x:c r="J69" s="56" t="n">
        <x:f>IF(I69=1,IF(C125='Chẩn đoán'!N61,1,0),0)</x:f>
        <x:v>0</x:v>
      </x:c>
      <x:c r="K69" s="56"/>
      <x:c r="L69" s="56"/>
      <x:c r="M69" s="56"/>
      <x:c r="N69" s="56"/>
      <x:c r="O69" s="56"/>
      <x:c r="P69" s="56"/>
      <x:c r="Q69" s="56"/>
      <x:c r="R69" s="56"/>
      <x:c r="S69" s="56"/>
      <x:c r="T69" s="56"/>
      <x:c r="U69" s="56"/>
      <x:c r="V69" s="56"/>
      <x:c r="W69" s="56"/>
      <x:c r="X69" s="56"/>
      <x:c r="Y69" s="56"/>
    </x:row>
    <x:row r="70" ht="28" customHeight="1">
      <x:c r="A70" s="56"/>
      <x:c r="B70" s="56"/>
      <x:c r="C70" s="56"/>
      <x:c r="D70" s="56"/>
      <x:c r="E70" s="56"/>
      <x:c r="F70" s="56"/>
      <x:c r="G70" s="56"/>
      <x:c r="H70" s="56"/>
      <x:c r="I70" s="56" t="n">
        <x:f>IF(ISBLANK(D125),0,IF(ISNUMBER(D125),IF(AND(D125&gt;=0,D125&lt;=4,MOD(D125,1)=0),1,-1),-1))</x:f>
        <x:v>0</x:v>
      </x:c>
      <x:c r="J70" s="56" t="n">
        <x:f>IF(I70=1,IF(D125='Chẩn đoán'!N62,1,0),0)</x:f>
        <x:v>0</x:v>
      </x:c>
      <x:c r="K70" s="56"/>
      <x:c r="L70" s="56"/>
      <x:c r="M70" s="56"/>
      <x:c r="N70" s="56"/>
      <x:c r="O70" s="56"/>
      <x:c r="P70" s="56"/>
      <x:c r="Q70" s="56"/>
      <x:c r="R70" s="56"/>
      <x:c r="S70" s="56"/>
      <x:c r="T70" s="56"/>
      <x:c r="U70" s="56"/>
      <x:c r="V70" s="56"/>
      <x:c r="W70" s="56"/>
      <x:c r="X70" s="56"/>
      <x:c r="Y70" s="56"/>
    </x:row>
    <x:row r="71" ht="28" customHeight="1">
      <x:c r="A71" s="56"/>
      <x:c r="B71" s="56"/>
      <x:c r="C71" s="56"/>
      <x:c r="D71" s="56"/>
      <x:c r="E71" s="56"/>
      <x:c r="F71" s="56"/>
      <x:c r="G71" s="56"/>
      <x:c r="H71" s="56"/>
      <x:c r="I71" s="56" t="n">
        <x:f>IF(ISBLANK(E125),0,IF(ISNUMBER(E125),IF(AND(E125&gt;=0,E125&lt;=4,MOD(E125,1)=0),1,-1),-1))</x:f>
        <x:v>0</x:v>
      </x:c>
      <x:c r="J71" s="56" t="n">
        <x:f>IF(I71=1,IF(E125='Chẩn đoán'!N63,1,0),0)</x:f>
        <x:v>0</x:v>
      </x:c>
      <x:c r="K71" s="56"/>
      <x:c r="L71" s="56"/>
      <x:c r="M71" s="56"/>
      <x:c r="N71" s="56"/>
      <x:c r="O71" s="56"/>
      <x:c r="P71" s="56"/>
      <x:c r="Q71" s="56"/>
      <x:c r="R71" s="56"/>
      <x:c r="S71" s="56"/>
      <x:c r="T71" s="56"/>
      <x:c r="U71" s="56"/>
      <x:c r="V71" s="56"/>
      <x:c r="W71" s="56"/>
      <x:c r="X71" s="56"/>
      <x:c r="Y71" s="56"/>
    </x:row>
    <x:row r="72" ht="28" customHeight="1">
      <x:c r="A72" s="56" t="str">
        <x:v>Ngày thật</x:v>
      </x:c>
      <x:c r="B72" s="64"/>
      <x:c r="C72" s="56" t="str">
        <x:v>Phút làm</x:v>
      </x:c>
      <x:c r="D72" s="61"/>
      <x:c r="E72" s="56" t="str">
        <x:v>Loại câu</x:v>
      </x:c>
      <x:c r="F72" s="61"/>
      <x:c r="G72" s="56"/>
      <x:c r="H72" s="56"/>
      <x:c r="I72" s="56" t="n">
        <x:f>IF(ISBLANK(B139),0,IF(ISNUMBER(B139),IF(AND(B139&gt;=0,B139&lt;=4,MOD(B139,1)=0),1,-1),-1))</x:f>
        <x:v>0</x:v>
      </x:c>
      <x:c r="J72" s="56" t="n">
        <x:f>IF(I72=1,IF(B139='Chẩn đoán'!N64,1,0),0)</x:f>
        <x:v>0</x:v>
      </x:c>
      <x:c r="K72" s="56"/>
      <x:c r="L72" s="56"/>
      <x:c r="M72" s="56"/>
      <x:c r="N72" s="56"/>
      <x:c r="O72" s="56"/>
      <x:c r="P72" s="56"/>
      <x:c r="Q72" s="56"/>
      <x:c r="R72" s="56"/>
      <x:c r="S72" s="56"/>
      <x:c r="T72" s="56"/>
      <x:c r="U72" s="56"/>
      <x:c r="V72" s="56"/>
      <x:c r="W72" s="56"/>
      <x:c r="X72" s="56"/>
      <x:c r="Y72" s="56"/>
    </x:row>
    <x:row r="73" ht="28" customHeight="1">
      <x:c r="A73" s="56" t="str">
        <x:v>Chấm sau giờ</x:v>
      </x:c>
      <x:c r="B73" s="61"/>
      <x:c r="C73" s="56"/>
      <x:c r="D73" s="56" t="str">
        <x:v>Dở dang: để nguyên; chưa chọn Xong.</x:v>
      </x:c>
      <x:c r="E73" s="56"/>
      <x:c r="F73" s="56"/>
      <x:c r="G73" s="56"/>
      <x:c r="H73" s="56"/>
      <x:c r="I73" s="56" t="n">
        <x:f>IF(ISBLANK(C139),0,IF(ISNUMBER(C139),IF(AND(C139&gt;=0,C139&lt;=4,MOD(C139,1)=0),1,-1),-1))</x:f>
        <x:v>0</x:v>
      </x:c>
      <x:c r="J73" s="56" t="n">
        <x:f>IF(I73=1,IF(C139='Chẩn đoán'!N65,1,0),0)</x:f>
        <x:v>0</x:v>
      </x:c>
      <x:c r="K73" s="56"/>
      <x:c r="L73" s="56"/>
      <x:c r="M73" s="56"/>
      <x:c r="N73" s="56"/>
      <x:c r="O73" s="56"/>
      <x:c r="P73" s="56"/>
      <x:c r="Q73" s="56"/>
      <x:c r="R73" s="56"/>
      <x:c r="S73" s="56"/>
      <x:c r="T73" s="56"/>
      <x:c r="U73" s="56"/>
      <x:c r="V73" s="56"/>
      <x:c r="W73" s="56"/>
      <x:c r="X73" s="56"/>
      <x:c r="Y73" s="56"/>
    </x:row>
    <x:row r="74" ht="32" customHeight="1">
      <x:c r="A74" s="56" t="str">
        <x:v>Trạng thái</x:v>
      </x:c>
      <x:c r="B74" s="66" t="str">
        <x:f>P176</x:f>
        <x:v>Chưa làm</x:v>
      </x:c>
      <x:c r="C74" s="66"/>
      <x:c r="D74" s="66"/>
      <x:c r="E74" s="66"/>
      <x:c r="F74" s="66"/>
      <x:c r="G74" s="66"/>
      <x:c r="H74" s="56"/>
      <x:c r="I74" s="56" t="n">
        <x:f>IF(ISBLANK(D139),0,IF(ISNUMBER(D139),IF(AND(D139&gt;=0,D139&lt;=4,MOD(D139,1)=0),1,-1),-1))</x:f>
        <x:v>0</x:v>
      </x:c>
      <x:c r="J74" s="56" t="n">
        <x:f>IF(I74=1,IF(D139='Chẩn đoán'!N66,1,0),0)</x:f>
        <x:v>0</x:v>
      </x:c>
      <x:c r="K74" s="56"/>
      <x:c r="L74" s="56"/>
      <x:c r="M74" s="56"/>
      <x:c r="N74" s="56"/>
      <x:c r="O74" s="56"/>
      <x:c r="P74" s="56"/>
      <x:c r="Q74" s="56"/>
      <x:c r="R74" s="56"/>
      <x:c r="S74" s="56"/>
      <x:c r="T74" s="56"/>
      <x:c r="U74" s="56"/>
      <x:c r="V74" s="56"/>
      <x:c r="W74" s="56"/>
      <x:c r="X74" s="56"/>
      <x:c r="Y74" s="56"/>
    </x:row>
    <x:row r="75" ht="32" customHeight="1">
      <x:c r="A75" s="56" t="str">
        <x:v>Kết quả</x:v>
      </x:c>
      <x:c r="B75" s="66" t="str">
        <x:f>IF(AND(B73="Xong",R176=K176,S176=0),T176&amp;"/"&amp;K176&amp;" đúng; 0 vẫn tính bỏ câu","Đã ghi "&amp;R176&amp;"/"&amp;K176&amp;"; chưa hiện điểm")</x:f>
        <x:v>Đã ghi 0/4; chưa hiện điểm</x:v>
      </x:c>
      <x:c r="C75" s="66"/>
      <x:c r="D75" s="66"/>
      <x:c r="E75" s="66"/>
      <x:c r="F75" s="66"/>
      <x:c r="G75" s="66"/>
      <x:c r="H75" s="56"/>
      <x:c r="I75" s="56" t="n">
        <x:f>IF(ISBLANK(E139),0,IF(ISNUMBER(E139),IF(AND(E139&gt;=0,E139&lt;=4,MOD(E139,1)=0),1,-1),-1))</x:f>
        <x:v>0</x:v>
      </x:c>
      <x:c r="J75" s="56" t="n">
        <x:f>IF(I75=1,IF(E139='Chẩn đoán'!N67,1,0),0)</x:f>
        <x:v>0</x:v>
      </x:c>
      <x:c r="K75" s="56"/>
      <x:c r="L75" s="56"/>
      <x:c r="M75" s="56"/>
      <x:c r="N75" s="56"/>
      <x:c r="O75" s="56"/>
      <x:c r="P75" s="56"/>
      <x:c r="Q75" s="56"/>
      <x:c r="R75" s="56"/>
      <x:c r="S75" s="56"/>
      <x:c r="T75" s="56"/>
      <x:c r="U75" s="56"/>
      <x:c r="V75" s="56"/>
      <x:c r="W75" s="56"/>
      <x:c r="X75" s="56"/>
      <x:c r="Y75" s="56"/>
    </x:row>
    <x:row r="76" ht="32" customHeight="1">
      <x:c r="A76" s="56" t="str">
        <x:v>Câu cần sửa</x:v>
      </x:c>
      <x:c r="B76" s="66" t="str">
        <x:f>IF(AND(B73="Xong",R176=K176,S176=0),IF(X176="","Không có câu sai/bỏ",X176),"Chỉ hiện sau khi làm xong")</x:f>
        <x:v>Chỉ hiện sau khi làm xong</x:v>
      </x:c>
      <x:c r="C76" s="66"/>
      <x:c r="D76" s="66"/>
      <x:c r="E76" s="66"/>
      <x:c r="F76" s="66"/>
      <x:c r="G76" s="66"/>
      <x:c r="H76" s="56"/>
      <x:c r="I76" s="56" t="n">
        <x:f>IF(ISBLANK(B153),0,IF(ISNUMBER(B153),IF(AND(B153&gt;=0,B153&lt;=4,MOD(B153,1)=0),1,-1),-1))</x:f>
        <x:v>0</x:v>
      </x:c>
      <x:c r="J76" s="56" t="n">
        <x:f>IF(I76=1,IF(B153='Chẩn đoán'!N68,1,0),0)</x:f>
        <x:v>0</x:v>
      </x:c>
      <x:c r="K76" s="56"/>
      <x:c r="L76" s="56"/>
      <x:c r="M76" s="56"/>
      <x:c r="N76" s="56"/>
      <x:c r="O76" s="56"/>
      <x:c r="P76" s="56"/>
      <x:c r="Q76" s="56"/>
      <x:c r="R76" s="56"/>
      <x:c r="S76" s="56"/>
      <x:c r="T76" s="56"/>
      <x:c r="U76" s="56"/>
      <x:c r="V76" s="56"/>
      <x:c r="W76" s="56"/>
      <x:c r="X76" s="56"/>
      <x:c r="Y76" s="56"/>
    </x:row>
    <x:row r="77" ht="28" customHeight="1">
      <x:c r="A77" s="56" t="str">
        <x:v>Lỗi chính</x:v>
      </x:c>
      <x:c r="B77" s="61"/>
      <x:c r="C77" s="56"/>
      <x:c r="D77" s="56"/>
      <x:c r="E77" s="58" t="str">
        <x:v>Xem tuần</x:v>
      </x:c>
      <x:c r="F77" s="56"/>
      <x:c r="G77" s="56"/>
      <x:c r="H77" s="56"/>
      <x:c r="I77" s="56" t="n">
        <x:f>IF(ISBLANK(C153),0,IF(ISNUMBER(C153),IF(AND(C153&gt;=0,C153&lt;=4,MOD(C153,1)=0),1,-1),-1))</x:f>
        <x:v>0</x:v>
      </x:c>
      <x:c r="J77" s="56" t="n">
        <x:f>IF(I77=1,IF(C153='Chẩn đoán'!N69,1,0),0)</x:f>
        <x:v>0</x:v>
      </x:c>
      <x:c r="K77" s="56"/>
      <x:c r="L77" s="56"/>
      <x:c r="M77" s="56"/>
      <x:c r="N77" s="56"/>
      <x:c r="O77" s="56"/>
      <x:c r="P77" s="56"/>
      <x:c r="Q77" s="56"/>
      <x:c r="R77" s="56"/>
      <x:c r="S77" s="56"/>
      <x:c r="T77" s="56"/>
      <x:c r="U77" s="56"/>
      <x:c r="V77" s="56"/>
      <x:c r="W77" s="56"/>
      <x:c r="X77" s="56"/>
      <x:c r="Y77" s="56"/>
    </x:row>
    <x:row r="78" ht="32" customHeight="1">
      <x:c r="A78" s="56" t="str">
        <x:v>Tiếp theo</x:v>
      </x:c>
      <x:c r="B78" s="66" t="str">
        <x:f>IF(P176="Đã chấm","Chọn 1 lỗi để chữa 5-10 phút rồi dừng.",IF(P176="Trùng hai chế độ","Giữ lịch sử ở Chẩn đoán; xóa bản nhập trùng ở đây.","Hoàn tất khi đủ sức; không ép làm khối tiếp."))</x:f>
        <x:v>Hoàn tất khi đủ sức; không ép làm khối tiếp.</x:v>
      </x:c>
      <x:c r="C78" s="66"/>
      <x:c r="D78" s="66"/>
      <x:c r="E78" s="66"/>
      <x:c r="F78" s="66"/>
      <x:c r="G78" s="66"/>
      <x:c r="H78" s="56"/>
      <x:c r="I78" s="56" t="n">
        <x:f>IF(ISBLANK(D153),0,IF(ISNUMBER(D153),IF(AND(D153&gt;=0,D153&lt;=3,MOD(D153,1)=0),1,-1),-1))</x:f>
        <x:v>0</x:v>
      </x:c>
      <x:c r="J78" s="56" t="n">
        <x:f>IF(I78=1,IF(D153='Chẩn đoán'!N70,1,0),0)</x:f>
        <x:v>0</x:v>
      </x:c>
      <x:c r="K78" s="56"/>
      <x:c r="L78" s="56"/>
      <x:c r="M78" s="56"/>
      <x:c r="N78" s="56"/>
      <x:c r="O78" s="56"/>
      <x:c r="P78" s="56"/>
      <x:c r="Q78" s="56"/>
      <x:c r="R78" s="56"/>
      <x:c r="S78" s="56"/>
      <x:c r="T78" s="56"/>
      <x:c r="U78" s="56"/>
      <x:c r="V78" s="56"/>
      <x:c r="W78" s="56"/>
      <x:c r="X78" s="56"/>
      <x:c r="Y78" s="56"/>
    </x:row>
    <x:row r="79" ht="28" customHeight="1">
      <x:c r="A79" s="56"/>
      <x:c r="B79" s="56"/>
      <x:c r="C79" s="56"/>
      <x:c r="D79" s="56"/>
      <x:c r="E79" s="56"/>
      <x:c r="F79" s="56"/>
      <x:c r="G79" s="56"/>
      <x:c r="H79" s="56"/>
      <x:c r="I79" s="56" t="n">
        <x:f>IF(ISBLANK(E153),0,IF(ISNUMBER(E153),IF(AND(E153&gt;=0,E153&lt;=3,MOD(E153,1)=0),1,-1),-1))</x:f>
        <x:v>0</x:v>
      </x:c>
      <x:c r="J79" s="56" t="n">
        <x:f>IF(I79=1,IF(E153='Chẩn đoán'!N71,1,0),0)</x:f>
        <x:v>0</x:v>
      </x:c>
      <x:c r="K79" s="56"/>
      <x:c r="L79" s="56"/>
      <x:c r="M79" s="56"/>
      <x:c r="N79" s="56"/>
      <x:c r="O79" s="56"/>
      <x:c r="P79" s="56"/>
      <x:c r="Q79" s="56"/>
      <x:c r="R79" s="56"/>
      <x:c r="S79" s="56"/>
      <x:c r="T79" s="56"/>
      <x:c r="U79" s="56"/>
      <x:c r="V79" s="56"/>
      <x:c r="W79" s="56"/>
      <x:c r="X79" s="56"/>
      <x:c r="Y79" s="56"/>
    </x:row>
    <x:row r="80" ht="30" customHeight="1">
      <x:c r="A80" s="60" t="str">
        <x:v>N4-L2 · Nghe · 8 phút làm</x:v>
      </x:c>
      <x:c r="B80" s="60"/>
      <x:c r="C80" s="60"/>
      <x:c r="D80" s="60"/>
      <x:c r="E80" s="60"/>
      <x:c r="F80" s="60"/>
      <x:c r="G80" s="60"/>
      <x:c r="H80" s="56"/>
      <x:c r="I80" s="56" t="n">
        <x:f>IF(ISBLANK(F153),0,IF(ISNUMBER(F153),IF(AND(F153&gt;=0,F153&lt;=3,MOD(F153,1)=0),1,-1),-1))</x:f>
        <x:v>0</x:v>
      </x:c>
      <x:c r="J80" s="56" t="n">
        <x:f>IF(I80=1,IF(F153='Chẩn đoán'!N72,1,0),0)</x:f>
        <x:v>0</x:v>
      </x:c>
      <x:c r="K80" s="56"/>
      <x:c r="L80" s="56"/>
      <x:c r="M80" s="56"/>
      <x:c r="N80" s="56"/>
      <x:c r="O80" s="56"/>
      <x:c r="P80" s="56"/>
      <x:c r="Q80" s="56"/>
      <x:c r="R80" s="56"/>
      <x:c r="S80" s="56"/>
      <x:c r="T80" s="56"/>
      <x:c r="U80" s="56"/>
      <x:c r="V80" s="56"/>
      <x:c r="W80" s="56"/>
      <x:c r="X80" s="56"/>
      <x:c r="Y80" s="56"/>
    </x:row>
    <x:row r="81" ht="28" customHeight="1">
      <x:c r="A81" s="56" t="str">
        <x:v>Nguồn JLPT</x:v>
      </x:c>
      <x:c r="B81" s="58" t="str">
        <x:v>Mở đề</x:v>
      </x:c>
      <x:c r="C81" s="56"/>
      <x:c r="D81" s="56"/>
      <x:c r="E81" s="58" t="str">
        <x:v>Khóa sau khi làm</x:v>
      </x:c>
      <x:c r="F81" s="56"/>
      <x:c r="G81" s="56"/>
      <x:c r="H81" s="56"/>
      <x:c r="I81" s="56" t="n">
        <x:f>IF(ISBLANK(G153),0,IF(ISNUMBER(G153),IF(AND(G153&gt;=0,G153&lt;=3,MOD(G153,1)=0),1,-1),-1))</x:f>
        <x:v>0</x:v>
      </x:c>
      <x:c r="J81" s="56" t="n">
        <x:f>IF(I81=1,IF(G153='Chẩn đoán'!N73,1,0),0)</x:f>
        <x:v>0</x:v>
      </x:c>
      <x:c r="K81" s="56"/>
      <x:c r="L81" s="56"/>
      <x:c r="M81" s="56"/>
      <x:c r="N81" s="56"/>
      <x:c r="O81" s="56"/>
      <x:c r="P81" s="56"/>
      <x:c r="Q81" s="56"/>
      <x:c r="R81" s="56"/>
      <x:c r="S81" s="56"/>
      <x:c r="T81" s="56"/>
      <x:c r="U81" s="56"/>
      <x:c r="V81" s="56"/>
      <x:c r="W81" s="56"/>
      <x:c r="X81" s="56"/>
      <x:c r="Y81" s="56"/>
    </x:row>
    <x:row r="82" ht="28" customHeight="1">
      <x:c r="A82" s="56" t="str">
        <x:v>Câu</x:v>
      </x:c>
      <x:c r="B82" s="56" t="str">
        <x:v>M3-1</x:v>
      </x:c>
      <x:c r="C82" s="56" t="str">
        <x:v>M3-2</x:v>
      </x:c>
      <x:c r="D82" s="56" t="str">
        <x:v>M4-1</x:v>
      </x:c>
      <x:c r="E82" s="56" t="str">
        <x:v>M4-2</x:v>
      </x:c>
      <x:c r="F82" s="56"/>
      <x:c r="G82" s="56"/>
      <x:c r="H82" s="56"/>
      <x:c r="I82" s="56"/>
      <x:c r="J82" s="56"/>
      <x:c r="K82" s="56"/>
      <x:c r="L82" s="56"/>
      <x:c r="M82" s="56"/>
      <x:c r="N82" s="56"/>
      <x:c r="O82" s="56"/>
      <x:c r="P82" s="56"/>
      <x:c r="Q82" s="56"/>
      <x:c r="R82" s="56"/>
      <x:c r="S82" s="56"/>
      <x:c r="T82" s="56"/>
      <x:c r="U82" s="56"/>
      <x:c r="V82" s="56"/>
      <x:c r="W82" s="56"/>
      <x:c r="X82" s="56"/>
      <x:c r="Y82" s="56"/>
    </x:row>
    <x:row r="83" ht="28" customHeight="1">
      <x:c r="A83" s="56" t="str">
        <x:v>Bạn chọn</x:v>
      </x:c>
      <x:c r="B83" s="63"/>
      <x:c r="C83" s="63"/>
      <x:c r="D83" s="63"/>
      <x:c r="E83" s="63"/>
      <x:c r="F83" s="56"/>
      <x:c r="G83" s="56"/>
      <x:c r="H83" s="56"/>
      <x:c r="I83" s="56"/>
      <x:c r="J83" s="56"/>
      <x:c r="K83" s="56"/>
      <x:c r="L83" s="56"/>
      <x:c r="M83" s="56"/>
      <x:c r="N83" s="56"/>
      <x:c r="O83" s="56"/>
      <x:c r="P83" s="56"/>
      <x:c r="Q83" s="56"/>
      <x:c r="R83" s="56"/>
      <x:c r="S83" s="56"/>
      <x:c r="T83" s="56"/>
      <x:c r="U83" s="56"/>
      <x:c r="V83" s="56"/>
      <x:c r="W83" s="56"/>
      <x:c r="X83" s="56"/>
      <x:c r="Y83" s="56"/>
    </x:row>
    <x:row r="84" ht="28" customHeight="1">
      <x:c r="A84" s="56"/>
      <x:c r="B84" s="56"/>
      <x:c r="C84" s="56"/>
      <x:c r="D84" s="56"/>
      <x:c r="E84" s="56"/>
      <x:c r="F84" s="56"/>
      <x:c r="G84" s="56"/>
      <x:c r="H84" s="56"/>
      <x:c r="I84" s="56"/>
      <x:c r="J84" s="56"/>
      <x:c r="K84" s="56"/>
      <x:c r="L84" s="56"/>
      <x:c r="M84" s="56"/>
      <x:c r="N84" s="56"/>
      <x:c r="O84" s="56"/>
      <x:c r="P84" s="56"/>
      <x:c r="Q84" s="56"/>
      <x:c r="R84" s="56"/>
      <x:c r="S84" s="56"/>
      <x:c r="T84" s="56"/>
      <x:c r="U84" s="56"/>
      <x:c r="V84" s="56"/>
      <x:c r="W84" s="56"/>
      <x:c r="X84" s="56"/>
      <x:c r="Y84" s="56"/>
    </x:row>
    <x:row r="85" ht="28" customHeight="1">
      <x:c r="A85" s="56"/>
      <x:c r="B85" s="56"/>
      <x:c r="C85" s="56"/>
      <x:c r="D85" s="56"/>
      <x:c r="E85" s="56"/>
      <x:c r="F85" s="56"/>
      <x:c r="G85" s="56"/>
      <x:c r="H85" s="56"/>
      <x:c r="I85" s="56"/>
      <x:c r="J85" s="56"/>
      <x:c r="K85" s="56"/>
      <x:c r="L85" s="56"/>
      <x:c r="M85" s="56"/>
      <x:c r="N85" s="56"/>
      <x:c r="O85" s="56"/>
      <x:c r="P85" s="56"/>
      <x:c r="Q85" s="56"/>
      <x:c r="R85" s="56"/>
      <x:c r="S85" s="56"/>
      <x:c r="T85" s="56"/>
      <x:c r="U85" s="56"/>
      <x:c r="V85" s="56"/>
      <x:c r="W85" s="56"/>
      <x:c r="X85" s="56"/>
      <x:c r="Y85" s="56"/>
    </x:row>
    <x:row r="86" ht="28" customHeight="1">
      <x:c r="A86" s="56" t="str">
        <x:v>Ngày thật</x:v>
      </x:c>
      <x:c r="B86" s="64"/>
      <x:c r="C86" s="56" t="str">
        <x:v>Phút làm</x:v>
      </x:c>
      <x:c r="D86" s="61"/>
      <x:c r="E86" s="56" t="str">
        <x:v>Loại câu</x:v>
      </x:c>
      <x:c r="F86" s="61"/>
      <x:c r="G86" s="56"/>
      <x:c r="H86" s="56"/>
      <x:c r="I86" s="56"/>
      <x:c r="J86" s="56"/>
      <x:c r="K86" s="56"/>
      <x:c r="L86" s="56"/>
      <x:c r="M86" s="56"/>
      <x:c r="N86" s="56"/>
      <x:c r="O86" s="56"/>
      <x:c r="P86" s="56"/>
      <x:c r="Q86" s="56"/>
      <x:c r="R86" s="56"/>
      <x:c r="S86" s="56"/>
      <x:c r="T86" s="56"/>
      <x:c r="U86" s="56"/>
      <x:c r="V86" s="56"/>
      <x:c r="W86" s="56"/>
      <x:c r="X86" s="56"/>
      <x:c r="Y86" s="56"/>
    </x:row>
    <x:row r="87" ht="28" customHeight="1">
      <x:c r="A87" s="56" t="str">
        <x:v>Chấm sau giờ</x:v>
      </x:c>
      <x:c r="B87" s="61"/>
      <x:c r="C87" s="56"/>
      <x:c r="D87" s="56" t="str">
        <x:v>Dở dang: để nguyên; chưa chọn Xong.</x:v>
      </x:c>
      <x:c r="E87" s="56"/>
      <x:c r="F87" s="56"/>
      <x:c r="G87" s="56"/>
      <x:c r="H87" s="56"/>
      <x:c r="I87" s="56"/>
      <x:c r="J87" s="56"/>
      <x:c r="K87" s="56"/>
      <x:c r="L87" s="56"/>
      <x:c r="M87" s="56"/>
      <x:c r="N87" s="56"/>
      <x:c r="O87" s="56"/>
      <x:c r="P87" s="56"/>
      <x:c r="Q87" s="56"/>
      <x:c r="R87" s="56"/>
      <x:c r="S87" s="56"/>
      <x:c r="T87" s="56"/>
      <x:c r="U87" s="56"/>
      <x:c r="V87" s="56"/>
      <x:c r="W87" s="56"/>
      <x:c r="X87" s="56"/>
      <x:c r="Y87" s="56"/>
    </x:row>
    <x:row r="88" ht="32" customHeight="1">
      <x:c r="A88" s="56" t="str">
        <x:v>Trạng thái</x:v>
      </x:c>
      <x:c r="B88" s="66" t="str">
        <x:f>P177</x:f>
        <x:v>Chưa làm</x:v>
      </x:c>
      <x:c r="C88" s="66"/>
      <x:c r="D88" s="66"/>
      <x:c r="E88" s="66"/>
      <x:c r="F88" s="66"/>
      <x:c r="G88" s="66"/>
      <x:c r="H88" s="56"/>
      <x:c r="I88" s="56"/>
      <x:c r="J88" s="56"/>
      <x:c r="K88" s="56"/>
      <x:c r="L88" s="56"/>
      <x:c r="M88" s="56"/>
      <x:c r="N88" s="56"/>
      <x:c r="O88" s="56"/>
      <x:c r="P88" s="56"/>
      <x:c r="Q88" s="56"/>
      <x:c r="R88" s="56"/>
      <x:c r="S88" s="56"/>
      <x:c r="T88" s="56"/>
      <x:c r="U88" s="56"/>
      <x:c r="V88" s="56"/>
      <x:c r="W88" s="56"/>
      <x:c r="X88" s="56"/>
      <x:c r="Y88" s="56"/>
    </x:row>
    <x:row r="89" ht="32" customHeight="1">
      <x:c r="A89" s="56" t="str">
        <x:v>Kết quả</x:v>
      </x:c>
      <x:c r="B89" s="66" t="str">
        <x:f>IF(AND(B87="Xong",R177=K177,S177=0),T177&amp;"/"&amp;K177&amp;" đúng; 0 vẫn tính bỏ câu","Đã ghi "&amp;R177&amp;"/"&amp;K177&amp;"; chưa hiện điểm")</x:f>
        <x:v>Đã ghi 0/4; chưa hiện điểm</x:v>
      </x:c>
      <x:c r="C89" s="66"/>
      <x:c r="D89" s="66"/>
      <x:c r="E89" s="66"/>
      <x:c r="F89" s="66"/>
      <x:c r="G89" s="66"/>
      <x:c r="H89" s="56"/>
      <x:c r="I89" s="56"/>
      <x:c r="J89" s="56"/>
      <x:c r="K89" s="56"/>
      <x:c r="L89" s="56"/>
      <x:c r="M89" s="56"/>
      <x:c r="N89" s="56"/>
      <x:c r="O89" s="56"/>
      <x:c r="P89" s="56"/>
      <x:c r="Q89" s="56"/>
      <x:c r="R89" s="56"/>
      <x:c r="S89" s="56"/>
      <x:c r="T89" s="56"/>
      <x:c r="U89" s="56"/>
      <x:c r="V89" s="56"/>
      <x:c r="W89" s="56"/>
      <x:c r="X89" s="56"/>
      <x:c r="Y89" s="56"/>
    </x:row>
    <x:row r="90" ht="32" customHeight="1">
      <x:c r="A90" s="56" t="str">
        <x:v>Câu cần sửa</x:v>
      </x:c>
      <x:c r="B90" s="66" t="str">
        <x:f>IF(AND(B87="Xong",R177=K177,S177=0),IF(X177="","Không có câu sai/bỏ",X177),"Chỉ hiện sau khi làm xong")</x:f>
        <x:v>Chỉ hiện sau khi làm xong</x:v>
      </x:c>
      <x:c r="C90" s="66"/>
      <x:c r="D90" s="66"/>
      <x:c r="E90" s="66"/>
      <x:c r="F90" s="66"/>
      <x:c r="G90" s="66"/>
      <x:c r="H90" s="56"/>
      <x:c r="I90" s="56"/>
      <x:c r="J90" s="56"/>
      <x:c r="K90" s="56"/>
      <x:c r="L90" s="56"/>
      <x:c r="M90" s="56"/>
      <x:c r="N90" s="56"/>
      <x:c r="O90" s="56"/>
      <x:c r="P90" s="56"/>
      <x:c r="Q90" s="56"/>
      <x:c r="R90" s="56"/>
      <x:c r="S90" s="56"/>
      <x:c r="T90" s="56"/>
      <x:c r="U90" s="56"/>
      <x:c r="V90" s="56"/>
      <x:c r="W90" s="56"/>
      <x:c r="X90" s="56"/>
      <x:c r="Y90" s="56"/>
    </x:row>
    <x:row r="91" ht="28" customHeight="1">
      <x:c r="A91" s="56" t="str">
        <x:v>Lỗi chính</x:v>
      </x:c>
      <x:c r="B91" s="61"/>
      <x:c r="C91" s="56"/>
      <x:c r="D91" s="56"/>
      <x:c r="E91" s="58" t="str">
        <x:v>Xem tuần</x:v>
      </x:c>
      <x:c r="F91" s="56"/>
      <x:c r="G91" s="56"/>
      <x:c r="H91" s="56"/>
      <x:c r="I91" s="56"/>
      <x:c r="J91" s="56"/>
      <x:c r="K91" s="56"/>
      <x:c r="L91" s="56"/>
      <x:c r="M91" s="56"/>
      <x:c r="N91" s="56"/>
      <x:c r="O91" s="56"/>
      <x:c r="P91" s="56"/>
      <x:c r="Q91" s="56"/>
      <x:c r="R91" s="56"/>
      <x:c r="S91" s="56"/>
      <x:c r="T91" s="56"/>
      <x:c r="U91" s="56"/>
      <x:c r="V91" s="56"/>
      <x:c r="W91" s="56"/>
      <x:c r="X91" s="56"/>
      <x:c r="Y91" s="56"/>
    </x:row>
    <x:row r="92" ht="32" customHeight="1">
      <x:c r="A92" s="56" t="str">
        <x:v>Tiếp theo</x:v>
      </x:c>
      <x:c r="B92" s="66" t="str">
        <x:f>IF(P177="Đã chấm","Chọn 1 lỗi để chữa 5-10 phút rồi dừng.",IF(P177="Trùng hai chế độ","Giữ lịch sử ở Chẩn đoán; xóa bản nhập trùng ở đây.","Hoàn tất khi đủ sức; không ép làm khối tiếp."))</x:f>
        <x:v>Hoàn tất khi đủ sức; không ép làm khối tiếp.</x:v>
      </x:c>
      <x:c r="C92" s="66"/>
      <x:c r="D92" s="66"/>
      <x:c r="E92" s="66"/>
      <x:c r="F92" s="66"/>
      <x:c r="G92" s="66"/>
      <x:c r="H92" s="56"/>
      <x:c r="I92" s="56"/>
      <x:c r="J92" s="56"/>
      <x:c r="K92" s="56"/>
      <x:c r="L92" s="56"/>
      <x:c r="M92" s="56"/>
      <x:c r="N92" s="56"/>
      <x:c r="O92" s="56"/>
      <x:c r="P92" s="56"/>
      <x:c r="Q92" s="56"/>
      <x:c r="R92" s="56"/>
      <x:c r="S92" s="56"/>
      <x:c r="T92" s="56"/>
      <x:c r="U92" s="56"/>
      <x:c r="V92" s="56"/>
      <x:c r="W92" s="56"/>
      <x:c r="X92" s="56"/>
      <x:c r="Y92" s="56"/>
    </x:row>
    <x:row r="93" ht="28" customHeight="1">
      <x:c r="A93" s="56"/>
      <x:c r="B93" s="56"/>
      <x:c r="C93" s="56"/>
      <x:c r="D93" s="56"/>
      <x:c r="E93" s="56"/>
      <x:c r="F93" s="56"/>
      <x:c r="G93" s="56"/>
      <x:c r="H93" s="56"/>
      <x:c r="I93" s="56"/>
      <x:c r="J93" s="56"/>
      <x:c r="K93" s="56"/>
      <x:c r="L93" s="56"/>
      <x:c r="M93" s="56"/>
      <x:c r="N93" s="56"/>
      <x:c r="O93" s="56"/>
      <x:c r="P93" s="56"/>
      <x:c r="Q93" s="56"/>
      <x:c r="R93" s="56"/>
      <x:c r="S93" s="56"/>
      <x:c r="T93" s="56"/>
      <x:c r="U93" s="56"/>
      <x:c r="V93" s="56"/>
      <x:c r="W93" s="56"/>
      <x:c r="X93" s="56"/>
      <x:c r="Y93" s="56"/>
    </x:row>
    <x:row r="94" ht="30" customHeight="1">
      <x:c r="A94" s="60" t="str">
        <x:v>N3-G · Ngữ pháp · 7 phút làm</x:v>
      </x:c>
      <x:c r="B94" s="60"/>
      <x:c r="C94" s="60"/>
      <x:c r="D94" s="60"/>
      <x:c r="E94" s="60"/>
      <x:c r="F94" s="60"/>
      <x:c r="G94" s="60"/>
      <x:c r="H94" s="56"/>
      <x:c r="I94" s="56"/>
      <x:c r="J94" s="56"/>
      <x:c r="K94" s="56"/>
      <x:c r="L94" s="56"/>
      <x:c r="M94" s="56"/>
      <x:c r="N94" s="56"/>
      <x:c r="O94" s="56"/>
      <x:c r="P94" s="56"/>
      <x:c r="Q94" s="56"/>
      <x:c r="R94" s="56"/>
      <x:c r="S94" s="56"/>
      <x:c r="T94" s="56"/>
      <x:c r="U94" s="56"/>
      <x:c r="V94" s="56"/>
      <x:c r="W94" s="56"/>
      <x:c r="X94" s="56"/>
      <x:c r="Y94" s="56"/>
    </x:row>
    <x:row r="95" ht="28" customHeight="1">
      <x:c r="A95" s="56" t="str">
        <x:v>Nguồn JLPT</x:v>
      </x:c>
      <x:c r="B95" s="58" t="str">
        <x:v>Mở đề</x:v>
      </x:c>
      <x:c r="C95" s="56"/>
      <x:c r="D95" s="56"/>
      <x:c r="E95" s="58" t="str">
        <x:v>Khóa sau khi làm</x:v>
      </x:c>
      <x:c r="F95" s="56"/>
      <x:c r="G95" s="56"/>
      <x:c r="H95" s="56"/>
      <x:c r="I95" s="56"/>
      <x:c r="J95" s="56"/>
      <x:c r="K95" s="56"/>
      <x:c r="L95" s="56"/>
      <x:c r="M95" s="56"/>
      <x:c r="N95" s="56"/>
      <x:c r="O95" s="56"/>
      <x:c r="P95" s="56"/>
      <x:c r="Q95" s="56"/>
      <x:c r="R95" s="56"/>
      <x:c r="S95" s="56"/>
      <x:c r="T95" s="56"/>
      <x:c r="U95" s="56"/>
      <x:c r="V95" s="56"/>
      <x:c r="W95" s="56"/>
      <x:c r="X95" s="56"/>
      <x:c r="Y95" s="56"/>
    </x:row>
    <x:row r="96" ht="28" customHeight="1">
      <x:c r="A96" s="56" t="str">
        <x:v>Câu</x:v>
      </x:c>
      <x:c r="B96" s="56" t="str">
        <x:v>1</x:v>
      </x:c>
      <x:c r="C96" s="56" t="str">
        <x:v>2</x:v>
      </x:c>
      <x:c r="D96" s="56" t="str">
        <x:v>3</x:v>
      </x:c>
      <x:c r="E96" s="56" t="str">
        <x:v>4</x:v>
      </x:c>
      <x:c r="F96" s="56" t="str">
        <x:v>14</x:v>
      </x:c>
      <x:c r="G96" s="56" t="str">
        <x:v>15</x:v>
      </x:c>
      <x:c r="H96" s="56"/>
      <x:c r="I96" s="56"/>
      <x:c r="J96" s="56"/>
      <x:c r="K96" s="56"/>
      <x:c r="L96" s="56"/>
      <x:c r="M96" s="56"/>
      <x:c r="N96" s="56"/>
      <x:c r="O96" s="56"/>
      <x:c r="P96" s="56"/>
      <x:c r="Q96" s="56"/>
      <x:c r="R96" s="56"/>
      <x:c r="S96" s="56"/>
      <x:c r="T96" s="56"/>
      <x:c r="U96" s="56"/>
      <x:c r="V96" s="56"/>
      <x:c r="W96" s="56"/>
      <x:c r="X96" s="56"/>
      <x:c r="Y96" s="56"/>
    </x:row>
    <x:row r="97" ht="28" customHeight="1">
      <x:c r="A97" s="56" t="str">
        <x:v>Bạn chọn</x:v>
      </x:c>
      <x:c r="B97" s="63"/>
      <x:c r="C97" s="63"/>
      <x:c r="D97" s="63"/>
      <x:c r="E97" s="63"/>
      <x:c r="F97" s="63"/>
      <x:c r="G97" s="63"/>
      <x:c r="H97" s="56"/>
      <x:c r="I97" s="56"/>
      <x:c r="J97" s="56"/>
      <x:c r="K97" s="56"/>
      <x:c r="L97" s="56"/>
      <x:c r="M97" s="56"/>
      <x:c r="N97" s="56"/>
      <x:c r="O97" s="56"/>
      <x:c r="P97" s="56"/>
      <x:c r="Q97" s="56"/>
      <x:c r="R97" s="56"/>
      <x:c r="S97" s="56"/>
      <x:c r="T97" s="56"/>
      <x:c r="U97" s="56"/>
      <x:c r="V97" s="56"/>
      <x:c r="W97" s="56"/>
      <x:c r="X97" s="56"/>
      <x:c r="Y97" s="56"/>
    </x:row>
    <x:row r="98" ht="28" customHeight="1">
      <x:c r="A98" s="56"/>
      <x:c r="B98" s="56"/>
      <x:c r="C98" s="56"/>
      <x:c r="D98" s="56"/>
      <x:c r="E98" s="56"/>
      <x:c r="F98" s="56"/>
      <x:c r="G98" s="56"/>
      <x:c r="H98" s="56"/>
      <x:c r="I98" s="56"/>
      <x:c r="J98" s="56"/>
      <x:c r="K98" s="56"/>
      <x:c r="L98" s="56"/>
      <x:c r="M98" s="56"/>
      <x:c r="N98" s="56"/>
      <x:c r="O98" s="56"/>
      <x:c r="P98" s="56"/>
      <x:c r="Q98" s="56"/>
      <x:c r="R98" s="56"/>
      <x:c r="S98" s="56"/>
      <x:c r="T98" s="56"/>
      <x:c r="U98" s="56"/>
      <x:c r="V98" s="56"/>
      <x:c r="W98" s="56"/>
      <x:c r="X98" s="56"/>
      <x:c r="Y98" s="56"/>
    </x:row>
    <x:row r="99" ht="28" customHeight="1">
      <x:c r="A99" s="56"/>
      <x:c r="B99" s="56"/>
      <x:c r="C99" s="56"/>
      <x:c r="D99" s="56"/>
      <x:c r="E99" s="56"/>
      <x:c r="F99" s="56"/>
      <x:c r="G99" s="56"/>
      <x:c r="H99" s="56"/>
      <x:c r="I99" s="56"/>
      <x:c r="J99" s="56"/>
      <x:c r="K99" s="56"/>
      <x:c r="L99" s="56"/>
      <x:c r="M99" s="56"/>
      <x:c r="N99" s="56"/>
      <x:c r="O99" s="56"/>
      <x:c r="P99" s="56"/>
      <x:c r="Q99" s="56"/>
      <x:c r="R99" s="56"/>
      <x:c r="S99" s="56"/>
      <x:c r="T99" s="56"/>
      <x:c r="U99" s="56"/>
      <x:c r="V99" s="56"/>
      <x:c r="W99" s="56"/>
      <x:c r="X99" s="56"/>
      <x:c r="Y99" s="56"/>
    </x:row>
    <x:row r="100" ht="28" customHeight="1">
      <x:c r="A100" s="56" t="str">
        <x:v>Ngày thật</x:v>
      </x:c>
      <x:c r="B100" s="64"/>
      <x:c r="C100" s="56" t="str">
        <x:v>Phút làm</x:v>
      </x:c>
      <x:c r="D100" s="61"/>
      <x:c r="E100" s="56" t="str">
        <x:v>Loại câu</x:v>
      </x:c>
      <x:c r="F100" s="61"/>
      <x:c r="G100" s="56"/>
      <x:c r="H100" s="56"/>
      <x:c r="I100" s="56"/>
      <x:c r="J100" s="56"/>
      <x:c r="K100" s="56"/>
      <x:c r="L100" s="56"/>
      <x:c r="M100" s="56"/>
      <x:c r="N100" s="56"/>
      <x:c r="O100" s="56"/>
      <x:c r="P100" s="56"/>
      <x:c r="Q100" s="56"/>
      <x:c r="R100" s="56"/>
      <x:c r="S100" s="56"/>
      <x:c r="T100" s="56"/>
      <x:c r="U100" s="56"/>
      <x:c r="V100" s="56"/>
      <x:c r="W100" s="56"/>
      <x:c r="X100" s="56"/>
      <x:c r="Y100" s="56"/>
    </x:row>
    <x:row r="101" ht="28" customHeight="1">
      <x:c r="A101" s="56" t="str">
        <x:v>Chấm sau giờ</x:v>
      </x:c>
      <x:c r="B101" s="61"/>
      <x:c r="C101" s="56"/>
      <x:c r="D101" s="56" t="str">
        <x:v>Dở dang: để nguyên; chưa chọn Xong.</x:v>
      </x:c>
      <x:c r="E101" s="56"/>
      <x:c r="F101" s="56"/>
      <x:c r="G101" s="56"/>
      <x:c r="H101" s="56"/>
      <x:c r="I101" s="56"/>
      <x:c r="J101" s="56"/>
      <x:c r="K101" s="56"/>
      <x:c r="L101" s="56"/>
      <x:c r="M101" s="56"/>
      <x:c r="N101" s="56"/>
      <x:c r="O101" s="56"/>
      <x:c r="P101" s="56"/>
      <x:c r="Q101" s="56"/>
      <x:c r="R101" s="56"/>
      <x:c r="S101" s="56"/>
      <x:c r="T101" s="56"/>
      <x:c r="U101" s="56"/>
      <x:c r="V101" s="56"/>
      <x:c r="W101" s="56"/>
      <x:c r="X101" s="56"/>
      <x:c r="Y101" s="56"/>
    </x:row>
    <x:row r="102" ht="32" customHeight="1">
      <x:c r="A102" s="56" t="str">
        <x:v>Trạng thái</x:v>
      </x:c>
      <x:c r="B102" s="66" t="str">
        <x:f>P178</x:f>
        <x:v>Chưa làm</x:v>
      </x:c>
      <x:c r="C102" s="66"/>
      <x:c r="D102" s="66"/>
      <x:c r="E102" s="66"/>
      <x:c r="F102" s="66"/>
      <x:c r="G102" s="66"/>
      <x:c r="H102" s="56"/>
      <x:c r="I102" s="56"/>
      <x:c r="J102" s="56"/>
      <x:c r="K102" s="56"/>
      <x:c r="L102" s="56"/>
      <x:c r="M102" s="56"/>
      <x:c r="N102" s="56"/>
      <x:c r="O102" s="56"/>
      <x:c r="P102" s="56"/>
      <x:c r="Q102" s="56"/>
      <x:c r="R102" s="56"/>
      <x:c r="S102" s="56"/>
      <x:c r="T102" s="56"/>
      <x:c r="U102" s="56"/>
      <x:c r="V102" s="56"/>
      <x:c r="W102" s="56"/>
      <x:c r="X102" s="56"/>
      <x:c r="Y102" s="56"/>
    </x:row>
    <x:row r="103" ht="32" customHeight="1">
      <x:c r="A103" s="56" t="str">
        <x:v>Kết quả</x:v>
      </x:c>
      <x:c r="B103" s="66" t="str">
        <x:f>IF(AND(B101="Xong",R178=K178,S178=0),T178&amp;"/"&amp;K178&amp;" đúng; 0 vẫn tính bỏ câu","Đã ghi "&amp;R178&amp;"/"&amp;K178&amp;"; chưa hiện điểm")</x:f>
        <x:v>Đã ghi 0/6; chưa hiện điểm</x:v>
      </x:c>
      <x:c r="C103" s="66"/>
      <x:c r="D103" s="66"/>
      <x:c r="E103" s="66"/>
      <x:c r="F103" s="66"/>
      <x:c r="G103" s="66"/>
      <x:c r="H103" s="56"/>
      <x:c r="I103" s="56"/>
      <x:c r="J103" s="56"/>
      <x:c r="K103" s="56"/>
      <x:c r="L103" s="56"/>
      <x:c r="M103" s="56"/>
      <x:c r="N103" s="56"/>
      <x:c r="O103" s="56"/>
      <x:c r="P103" s="56"/>
      <x:c r="Q103" s="56"/>
      <x:c r="R103" s="56"/>
      <x:c r="S103" s="56"/>
      <x:c r="T103" s="56"/>
      <x:c r="U103" s="56"/>
      <x:c r="V103" s="56"/>
      <x:c r="W103" s="56"/>
      <x:c r="X103" s="56"/>
      <x:c r="Y103" s="56"/>
    </x:row>
    <x:row r="104" ht="32" customHeight="1">
      <x:c r="A104" s="56" t="str">
        <x:v>Câu cần sửa</x:v>
      </x:c>
      <x:c r="B104" s="66" t="str">
        <x:f>IF(AND(B101="Xong",R178=K178,S178=0),IF(X178="","Không có câu sai/bỏ",X178),"Chỉ hiện sau khi làm xong")</x:f>
        <x:v>Chỉ hiện sau khi làm xong</x:v>
      </x:c>
      <x:c r="C104" s="66"/>
      <x:c r="D104" s="66"/>
      <x:c r="E104" s="66"/>
      <x:c r="F104" s="66"/>
      <x:c r="G104" s="66"/>
      <x:c r="H104" s="56"/>
      <x:c r="I104" s="56"/>
      <x:c r="J104" s="56"/>
      <x:c r="K104" s="56"/>
      <x:c r="L104" s="56"/>
      <x:c r="M104" s="56"/>
      <x:c r="N104" s="56"/>
      <x:c r="O104" s="56"/>
      <x:c r="P104" s="56"/>
      <x:c r="Q104" s="56"/>
      <x:c r="R104" s="56"/>
      <x:c r="S104" s="56"/>
      <x:c r="T104" s="56"/>
      <x:c r="U104" s="56"/>
      <x:c r="V104" s="56"/>
      <x:c r="W104" s="56"/>
      <x:c r="X104" s="56"/>
      <x:c r="Y104" s="56"/>
    </x:row>
    <x:row r="105" ht="28" customHeight="1">
      <x:c r="A105" s="56" t="str">
        <x:v>Lỗi chính</x:v>
      </x:c>
      <x:c r="B105" s="61"/>
      <x:c r="C105" s="56"/>
      <x:c r="D105" s="56"/>
      <x:c r="E105" s="58" t="str">
        <x:v>Xem tuần</x:v>
      </x:c>
      <x:c r="F105" s="56"/>
      <x:c r="G105" s="56"/>
      <x:c r="H105" s="56"/>
      <x:c r="I105" s="56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</x:row>
    <x:row r="106" ht="32" customHeight="1">
      <x:c r="A106" s="56" t="str">
        <x:v>Tiếp theo</x:v>
      </x:c>
      <x:c r="B106" s="66" t="str">
        <x:f>IF(P178="Đã chấm","Chọn 1 lỗi để chữa 5-10 phút rồi dừng.",IF(P178="Trùng hai chế độ","Giữ lịch sử ở Chẩn đoán; xóa bản nhập trùng ở đây.","Hoàn tất khi đủ sức; không ép làm khối tiếp."))</x:f>
        <x:v>Hoàn tất khi đủ sức; không ép làm khối tiếp.</x:v>
      </x:c>
      <x:c r="C106" s="66"/>
      <x:c r="D106" s="66"/>
      <x:c r="E106" s="66"/>
      <x:c r="F106" s="66"/>
      <x:c r="G106" s="66"/>
      <x:c r="H106" s="56"/>
      <x:c r="I106" s="56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</x:row>
    <x:row r="107" ht="28" customHeight="1">
      <x:c r="A107" s="56"/>
      <x:c r="B107" s="56"/>
      <x:c r="C107" s="56"/>
      <x:c r="D107" s="56"/>
      <x:c r="E107" s="56"/>
      <x:c r="F107" s="56"/>
      <x:c r="G107" s="56"/>
      <x:c r="H107" s="56"/>
      <x:c r="I107" s="56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</x:row>
    <x:row r="108" ht="30" customHeight="1">
      <x:c r="A108" s="60" t="str">
        <x:v>N3-V · Từ và kanji · 8 phút làm</x:v>
      </x:c>
      <x:c r="B108" s="60"/>
      <x:c r="C108" s="60"/>
      <x:c r="D108" s="60"/>
      <x:c r="E108" s="60"/>
      <x:c r="F108" s="60"/>
      <x:c r="G108" s="60"/>
      <x:c r="H108" s="56"/>
      <x:c r="I108" s="56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</x:row>
    <x:row r="109" ht="28" customHeight="1">
      <x:c r="A109" s="56" t="str">
        <x:v>Nguồn JLPT</x:v>
      </x:c>
      <x:c r="B109" s="58" t="str">
        <x:v>Mở đề</x:v>
      </x:c>
      <x:c r="C109" s="56"/>
      <x:c r="D109" s="56"/>
      <x:c r="E109" s="58" t="str">
        <x:v>Khóa sau khi làm</x:v>
      </x:c>
      <x:c r="F109" s="56"/>
      <x:c r="G109" s="56"/>
      <x:c r="H109" s="56"/>
      <x:c r="I109" s="56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</x:row>
    <x:row r="110" ht="28" customHeight="1">
      <x:c r="A110" s="56" t="str">
        <x:v>Câu</x:v>
      </x:c>
      <x:c r="B110" s="56" t="str">
        <x:v>1</x:v>
      </x:c>
      <x:c r="C110" s="56" t="str">
        <x:v>2</x:v>
      </x:c>
      <x:c r="D110" s="56" t="str">
        <x:v>9</x:v>
      </x:c>
      <x:c r="E110" s="56" t="str">
        <x:v>10</x:v>
      </x:c>
      <x:c r="F110" s="56" t="str">
        <x:v>15</x:v>
      </x:c>
      <x:c r="G110" s="56" t="str">
        <x:v>16</x:v>
      </x:c>
      <x:c r="H110" s="56"/>
      <x:c r="I110" s="56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</x:row>
    <x:row r="111" ht="28" customHeight="1">
      <x:c r="A111" s="56" t="str">
        <x:v>Bạn chọn</x:v>
      </x:c>
      <x:c r="B111" s="63"/>
      <x:c r="C111" s="63"/>
      <x:c r="D111" s="63"/>
      <x:c r="E111" s="63"/>
      <x:c r="F111" s="63"/>
      <x:c r="G111" s="63"/>
      <x:c r="H111" s="56"/>
      <x:c r="I111" s="56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</x:row>
    <x:row r="112" ht="28" customHeight="1">
      <x:c r="A112" s="56" t="str">
        <x:v>Câu tiếp</x:v>
      </x:c>
      <x:c r="B112" s="56" t="str">
        <x:v>26</x:v>
      </x:c>
      <x:c r="C112" s="56" t="str">
        <x:v>27</x:v>
      </x:c>
      <x:c r="D112" s="56" t="str">
        <x:v>31</x:v>
      </x:c>
      <x:c r="E112" s="56" t="str">
        <x:v>32</x:v>
      </x:c>
      <x:c r="F112" s="56"/>
      <x:c r="G112" s="56"/>
      <x:c r="H112" s="56"/>
      <x:c r="I112" s="56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</x:row>
    <x:row r="113" ht="28" customHeight="1">
      <x:c r="A113" s="56" t="str">
        <x:v>Bạn chọn</x:v>
      </x:c>
      <x:c r="B113" s="63"/>
      <x:c r="C113" s="63"/>
      <x:c r="D113" s="63"/>
      <x:c r="E113" s="63"/>
      <x:c r="F113" s="56"/>
      <x:c r="G113" s="56"/>
      <x:c r="H113" s="56"/>
      <x:c r="I113" s="56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</x:row>
    <x:row r="114" ht="28" customHeight="1">
      <x:c r="A114" s="56" t="str">
        <x:v>Ngày thật</x:v>
      </x:c>
      <x:c r="B114" s="64"/>
      <x:c r="C114" s="56" t="str">
        <x:v>Phút làm</x:v>
      </x:c>
      <x:c r="D114" s="61"/>
      <x:c r="E114" s="56" t="str">
        <x:v>Loại câu</x:v>
      </x:c>
      <x:c r="F114" s="61"/>
      <x:c r="G114" s="56"/>
      <x:c r="H114" s="56"/>
      <x:c r="I114" s="56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</x:row>
    <x:row r="115" ht="28" customHeight="1">
      <x:c r="A115" s="56" t="str">
        <x:v>Chấm sau giờ</x:v>
      </x:c>
      <x:c r="B115" s="61"/>
      <x:c r="C115" s="56"/>
      <x:c r="D115" s="56" t="str">
        <x:v>Dở dang: để nguyên; chưa chọn Xong.</x:v>
      </x:c>
      <x:c r="E115" s="56"/>
      <x:c r="F115" s="56"/>
      <x:c r="G115" s="56"/>
      <x:c r="H115" s="56"/>
      <x:c r="I115" s="56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</x:row>
    <x:row r="116" ht="32" customHeight="1">
      <x:c r="A116" s="56" t="str">
        <x:v>Trạng thái</x:v>
      </x:c>
      <x:c r="B116" s="66" t="str">
        <x:f>P179</x:f>
        <x:v>Chưa làm</x:v>
      </x:c>
      <x:c r="C116" s="66"/>
      <x:c r="D116" s="66"/>
      <x:c r="E116" s="66"/>
      <x:c r="F116" s="66"/>
      <x:c r="G116" s="66"/>
      <x:c r="H116" s="56"/>
      <x:c r="I116" s="56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</x:row>
    <x:row r="117" ht="32" customHeight="1">
      <x:c r="A117" s="56" t="str">
        <x:v>Kết quả</x:v>
      </x:c>
      <x:c r="B117" s="66" t="str">
        <x:f>IF(AND(B115="Xong",R179=K179,S179=0),T179&amp;"/"&amp;K179&amp;" đúng; 0 vẫn tính bỏ câu","Đã ghi "&amp;R179&amp;"/"&amp;K179&amp;"; chưa hiện điểm")</x:f>
        <x:v>Đã ghi 0/10; chưa hiện điểm</x:v>
      </x:c>
      <x:c r="C117" s="66"/>
      <x:c r="D117" s="66"/>
      <x:c r="E117" s="66"/>
      <x:c r="F117" s="66"/>
      <x:c r="G117" s="66"/>
      <x:c r="H117" s="56"/>
      <x:c r="I117" s="56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</x:row>
    <x:row r="118" ht="32" customHeight="1">
      <x:c r="A118" s="56" t="str">
        <x:v>Câu cần sửa</x:v>
      </x:c>
      <x:c r="B118" s="66" t="str">
        <x:f>IF(AND(B115="Xong",R179=K179,S179=0),IF(X179="","Không có câu sai/bỏ",X179),"Chỉ hiện sau khi làm xong")</x:f>
        <x:v>Chỉ hiện sau khi làm xong</x:v>
      </x:c>
      <x:c r="C118" s="66"/>
      <x:c r="D118" s="66"/>
      <x:c r="E118" s="66"/>
      <x:c r="F118" s="66"/>
      <x:c r="G118" s="66"/>
      <x:c r="H118" s="56"/>
      <x:c r="I118" s="56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</x:row>
    <x:row r="119" ht="28" customHeight="1">
      <x:c r="A119" s="56" t="str">
        <x:v>Lỗi chính</x:v>
      </x:c>
      <x:c r="B119" s="61"/>
      <x:c r="C119" s="56"/>
      <x:c r="D119" s="56"/>
      <x:c r="E119" s="58" t="str">
        <x:v>Xem tuần</x:v>
      </x:c>
      <x:c r="F119" s="56"/>
      <x:c r="G119" s="56"/>
      <x:c r="H119" s="56"/>
      <x:c r="I119" s="56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</x:row>
    <x:row r="120" ht="32" customHeight="1">
      <x:c r="A120" s="56" t="str">
        <x:v>Tiếp theo</x:v>
      </x:c>
      <x:c r="B120" s="66" t="str">
        <x:f>IF(P179="Đã chấm","Chọn 1 lỗi để chữa 5-10 phút rồi dừng.",IF(P179="Trùng hai chế độ","Giữ lịch sử ở Chẩn đoán; xóa bản nhập trùng ở đây.","Hoàn tất khi đủ sức; không ép làm khối tiếp."))</x:f>
        <x:v>Hoàn tất khi đủ sức; không ép làm khối tiếp.</x:v>
      </x:c>
      <x:c r="C120" s="66"/>
      <x:c r="D120" s="66"/>
      <x:c r="E120" s="66"/>
      <x:c r="F120" s="66"/>
      <x:c r="G120" s="66"/>
      <x:c r="H120" s="56"/>
      <x:c r="I120" s="56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</x:row>
    <x:row r="121" ht="28" customHeight="1">
      <x:c r="A121" s="56"/>
      <x:c r="B121" s="56"/>
      <x:c r="C121" s="56"/>
      <x:c r="D121" s="56"/>
      <x:c r="E121" s="56"/>
      <x:c r="F121" s="56"/>
      <x:c r="G121" s="56"/>
      <x:c r="H121" s="56"/>
      <x:c r="I121" s="56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</x:row>
    <x:row r="122" ht="30" customHeight="1">
      <x:c r="A122" s="60" t="str">
        <x:v>N3-R · Đọc · 12 phút làm</x:v>
      </x:c>
      <x:c r="B122" s="60"/>
      <x:c r="C122" s="60"/>
      <x:c r="D122" s="60"/>
      <x:c r="E122" s="60"/>
      <x:c r="F122" s="60"/>
      <x:c r="G122" s="60"/>
      <x:c r="H122" s="56"/>
      <x:c r="I122" s="56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</x:row>
    <x:row r="123" ht="28" customHeight="1">
      <x:c r="A123" s="56" t="str">
        <x:v>Nguồn JLPT</x:v>
      </x:c>
      <x:c r="B123" s="58" t="str">
        <x:v>Mở đề</x:v>
      </x:c>
      <x:c r="C123" s="56"/>
      <x:c r="D123" s="56"/>
      <x:c r="E123" s="58" t="str">
        <x:v>Khóa sau khi làm</x:v>
      </x:c>
      <x:c r="F123" s="56"/>
      <x:c r="G123" s="56"/>
      <x:c r="H123" s="56"/>
      <x:c r="I123" s="56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</x:row>
    <x:row r="124" ht="28" customHeight="1">
      <x:c r="A124" s="56" t="str">
        <x:v>Câu</x:v>
      </x:c>
      <x:c r="B124" s="56" t="str">
        <x:v>24</x:v>
      </x:c>
      <x:c r="C124" s="56" t="str">
        <x:v>28</x:v>
      </x:c>
      <x:c r="D124" s="56" t="str">
        <x:v>29</x:v>
      </x:c>
      <x:c r="E124" s="56" t="str">
        <x:v>30</x:v>
      </x:c>
      <x:c r="F124" s="56"/>
      <x:c r="G124" s="56"/>
      <x:c r="H124" s="56"/>
      <x:c r="I124" s="56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</x:row>
    <x:row r="125" ht="28" customHeight="1">
      <x:c r="A125" s="56" t="str">
        <x:v>Bạn chọn</x:v>
      </x:c>
      <x:c r="B125" s="63"/>
      <x:c r="C125" s="63"/>
      <x:c r="D125" s="63"/>
      <x:c r="E125" s="63"/>
      <x:c r="F125" s="56"/>
      <x:c r="G125" s="56"/>
      <x:c r="H125" s="56"/>
      <x:c r="I125" s="56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</x:row>
    <x:row r="126" ht="28" customHeight="1">
      <x:c r="A126" s="56"/>
      <x:c r="B126" s="56"/>
      <x:c r="C126" s="56"/>
      <x:c r="D126" s="56"/>
      <x:c r="E126" s="56"/>
      <x:c r="F126" s="56"/>
      <x:c r="G126" s="56"/>
      <x:c r="H126" s="56"/>
      <x:c r="I126" s="56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</x:row>
    <x:row r="127" ht="28" customHeight="1">
      <x:c r="A127" s="56"/>
      <x:c r="B127" s="56"/>
      <x:c r="C127" s="56"/>
      <x:c r="D127" s="56"/>
      <x:c r="E127" s="56"/>
      <x:c r="F127" s="56"/>
      <x:c r="G127" s="56"/>
      <x:c r="H127" s="56"/>
      <x:c r="I127" s="56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</x:row>
    <x:row r="128" ht="28" customHeight="1">
      <x:c r="A128" s="56" t="str">
        <x:v>Ngày thật</x:v>
      </x:c>
      <x:c r="B128" s="64"/>
      <x:c r="C128" s="56" t="str">
        <x:v>Phút làm</x:v>
      </x:c>
      <x:c r="D128" s="61"/>
      <x:c r="E128" s="56" t="str">
        <x:v>Loại câu</x:v>
      </x:c>
      <x:c r="F128" s="61"/>
      <x:c r="G128" s="56"/>
      <x:c r="H128" s="56"/>
      <x:c r="I128" s="56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</x:row>
    <x:row r="129" ht="28" customHeight="1">
      <x:c r="A129" s="56" t="str">
        <x:v>Chấm sau giờ</x:v>
      </x:c>
      <x:c r="B129" s="61"/>
      <x:c r="C129" s="56"/>
      <x:c r="D129" s="56" t="str">
        <x:v>Dở dang: để nguyên; chưa chọn Xong.</x:v>
      </x:c>
      <x:c r="E129" s="56"/>
      <x:c r="F129" s="56"/>
      <x:c r="G129" s="56"/>
      <x:c r="H129" s="56"/>
      <x:c r="I129" s="56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</x:row>
    <x:row r="130" ht="32" customHeight="1">
      <x:c r="A130" s="56" t="str">
        <x:v>Trạng thái</x:v>
      </x:c>
      <x:c r="B130" s="66" t="str">
        <x:f>P180</x:f>
        <x:v>Chưa làm</x:v>
      </x:c>
      <x:c r="C130" s="66"/>
      <x:c r="D130" s="66"/>
      <x:c r="E130" s="66"/>
      <x:c r="F130" s="66"/>
      <x:c r="G130" s="66"/>
      <x:c r="H130" s="56"/>
      <x:c r="I130" s="56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</x:row>
    <x:row r="131" ht="32" customHeight="1">
      <x:c r="A131" s="56" t="str">
        <x:v>Kết quả</x:v>
      </x:c>
      <x:c r="B131" s="66" t="str">
        <x:f>IF(AND(B129="Xong",R180=K180,S180=0),T180&amp;"/"&amp;K180&amp;" đúng; 0 vẫn tính bỏ câu","Đã ghi "&amp;R180&amp;"/"&amp;K180&amp;"; chưa hiện điểm")</x:f>
        <x:v>Đã ghi 0/4; chưa hiện điểm</x:v>
      </x:c>
      <x:c r="C131" s="66"/>
      <x:c r="D131" s="66"/>
      <x:c r="E131" s="66"/>
      <x:c r="F131" s="66"/>
      <x:c r="G131" s="66"/>
      <x:c r="H131" s="56"/>
      <x:c r="I131" s="56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</x:row>
    <x:row r="132" ht="32" customHeight="1">
      <x:c r="A132" s="56" t="str">
        <x:v>Câu cần sửa</x:v>
      </x:c>
      <x:c r="B132" s="66" t="str">
        <x:f>IF(AND(B129="Xong",R180=K180,S180=0),IF(X180="","Không có câu sai/bỏ",X180),"Chỉ hiện sau khi làm xong")</x:f>
        <x:v>Chỉ hiện sau khi làm xong</x:v>
      </x:c>
      <x:c r="C132" s="66"/>
      <x:c r="D132" s="66"/>
      <x:c r="E132" s="66"/>
      <x:c r="F132" s="66"/>
      <x:c r="G132" s="66"/>
      <x:c r="H132" s="56"/>
      <x:c r="I132" s="56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</x:row>
    <x:row r="133" ht="28" customHeight="1">
      <x:c r="A133" s="56" t="str">
        <x:v>Lỗi chính</x:v>
      </x:c>
      <x:c r="B133" s="61"/>
      <x:c r="C133" s="56"/>
      <x:c r="D133" s="56"/>
      <x:c r="E133" s="58" t="str">
        <x:v>Xem tuần</x:v>
      </x:c>
      <x:c r="F133" s="56"/>
      <x:c r="G133" s="56"/>
      <x:c r="H133" s="56"/>
      <x:c r="I133" s="56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</x:row>
    <x:row r="134" ht="32" customHeight="1">
      <x:c r="A134" s="56" t="str">
        <x:v>Tiếp theo</x:v>
      </x:c>
      <x:c r="B134" s="66" t="str">
        <x:f>IF(P180="Đã chấm","Chọn 1 lỗi để chữa 5-10 phút rồi dừng.",IF(P180="Trùng hai chế độ","Giữ lịch sử ở Chẩn đoán; xóa bản nhập trùng ở đây.","Hoàn tất khi đủ sức; không ép làm khối tiếp."))</x:f>
        <x:v>Hoàn tất khi đủ sức; không ép làm khối tiếp.</x:v>
      </x:c>
      <x:c r="C134" s="66"/>
      <x:c r="D134" s="66"/>
      <x:c r="E134" s="66"/>
      <x:c r="F134" s="66"/>
      <x:c r="G134" s="66"/>
      <x:c r="H134" s="56"/>
      <x:c r="I134" s="56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</x:row>
    <x:row r="135" ht="28" customHeight="1">
      <x:c r="A135" s="56"/>
      <x:c r="B135" s="56"/>
      <x:c r="C135" s="56"/>
      <x:c r="D135" s="56"/>
      <x:c r="E135" s="56"/>
      <x:c r="F135" s="56"/>
      <x:c r="G135" s="56"/>
      <x:c r="H135" s="56"/>
      <x:c r="I135" s="56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</x:row>
    <x:row r="136" ht="30" customHeight="1">
      <x:c r="A136" s="60" t="str">
        <x:v>N3-L1 · Nghe · 10 phút làm</x:v>
      </x:c>
      <x:c r="B136" s="60"/>
      <x:c r="C136" s="60"/>
      <x:c r="D136" s="60"/>
      <x:c r="E136" s="60"/>
      <x:c r="F136" s="60"/>
      <x:c r="G136" s="60"/>
      <x:c r="H136" s="56"/>
      <x:c r="I136" s="56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</x:row>
    <x:row r="137" ht="28" customHeight="1">
      <x:c r="A137" s="56" t="str">
        <x:v>Nguồn JLPT</x:v>
      </x:c>
      <x:c r="B137" s="58" t="str">
        <x:v>Mở đề</x:v>
      </x:c>
      <x:c r="C137" s="56"/>
      <x:c r="D137" s="56"/>
      <x:c r="E137" s="58" t="str">
        <x:v>Khóa sau khi làm</x:v>
      </x:c>
      <x:c r="F137" s="56"/>
      <x:c r="G137" s="56"/>
      <x:c r="H137" s="56"/>
      <x:c r="I137" s="56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</x:row>
    <x:row r="138" ht="28" customHeight="1">
      <x:c r="A138" s="56" t="str">
        <x:v>Câu</x:v>
      </x:c>
      <x:c r="B138" s="56" t="str">
        <x:v>M1-1</x:v>
      </x:c>
      <x:c r="C138" s="56" t="str">
        <x:v>M1-2</x:v>
      </x:c>
      <x:c r="D138" s="56" t="str">
        <x:v>M2-1</x:v>
      </x:c>
      <x:c r="E138" s="56" t="str">
        <x:v>M2-2</x:v>
      </x:c>
      <x:c r="F138" s="56"/>
      <x:c r="G138" s="56"/>
      <x:c r="H138" s="56"/>
      <x:c r="I138" s="56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</x:row>
    <x:row r="139" ht="28" customHeight="1">
      <x:c r="A139" s="56" t="str">
        <x:v>Bạn chọn</x:v>
      </x:c>
      <x:c r="B139" s="63"/>
      <x:c r="C139" s="63"/>
      <x:c r="D139" s="63"/>
      <x:c r="E139" s="63"/>
      <x:c r="F139" s="56"/>
      <x:c r="G139" s="56"/>
      <x:c r="H139" s="56"/>
      <x:c r="I139" s="56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</x:row>
    <x:row r="140" ht="28" customHeight="1">
      <x:c r="A140" s="56"/>
      <x:c r="B140" s="56"/>
      <x:c r="C140" s="56"/>
      <x:c r="D140" s="56"/>
      <x:c r="E140" s="56"/>
      <x:c r="F140" s="56"/>
      <x:c r="G140" s="56"/>
      <x:c r="H140" s="56"/>
      <x:c r="I140" s="56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</x:row>
    <x:row r="141" ht="28" customHeight="1">
      <x:c r="A141" s="56"/>
      <x:c r="B141" s="56"/>
      <x:c r="C141" s="56"/>
      <x:c r="D141" s="56"/>
      <x:c r="E141" s="56"/>
      <x:c r="F141" s="56"/>
      <x:c r="G141" s="56"/>
      <x:c r="H141" s="56"/>
      <x:c r="I141" s="56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</x:row>
    <x:row r="142" ht="28" customHeight="1">
      <x:c r="A142" s="56" t="str">
        <x:v>Ngày thật</x:v>
      </x:c>
      <x:c r="B142" s="64"/>
      <x:c r="C142" s="56" t="str">
        <x:v>Phút làm</x:v>
      </x:c>
      <x:c r="D142" s="61"/>
      <x:c r="E142" s="56" t="str">
        <x:v>Loại câu</x:v>
      </x:c>
      <x:c r="F142" s="61"/>
      <x:c r="G142" s="56"/>
      <x:c r="H142" s="56"/>
      <x:c r="I142" s="56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</x:row>
    <x:row r="143" ht="28" customHeight="1">
      <x:c r="A143" s="56" t="str">
        <x:v>Chấm sau giờ</x:v>
      </x:c>
      <x:c r="B143" s="61"/>
      <x:c r="C143" s="56"/>
      <x:c r="D143" s="56" t="str">
        <x:v>Dở dang: để nguyên; chưa chọn Xong.</x:v>
      </x:c>
      <x:c r="E143" s="56"/>
      <x:c r="F143" s="56"/>
      <x:c r="G143" s="56"/>
      <x:c r="H143" s="56"/>
      <x:c r="I143" s="56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</x:row>
    <x:row r="144" ht="32" customHeight="1">
      <x:c r="A144" s="56" t="str">
        <x:v>Trạng thái</x:v>
      </x:c>
      <x:c r="B144" s="66" t="str">
        <x:f>P181</x:f>
        <x:v>Chưa làm</x:v>
      </x:c>
      <x:c r="C144" s="66"/>
      <x:c r="D144" s="66"/>
      <x:c r="E144" s="66"/>
      <x:c r="F144" s="66"/>
      <x:c r="G144" s="66"/>
      <x:c r="H144" s="56"/>
      <x:c r="I144" s="56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</x:row>
    <x:row r="145" ht="32" customHeight="1">
      <x:c r="A145" s="56" t="str">
        <x:v>Kết quả</x:v>
      </x:c>
      <x:c r="B145" s="66" t="str">
        <x:f>IF(AND(B143="Xong",R181=K181,S181=0),T181&amp;"/"&amp;K181&amp;" đúng; 0 vẫn tính bỏ câu","Đã ghi "&amp;R181&amp;"/"&amp;K181&amp;"; chưa hiện điểm")</x:f>
        <x:v>Đã ghi 0/4; chưa hiện điểm</x:v>
      </x:c>
      <x:c r="C145" s="66"/>
      <x:c r="D145" s="66"/>
      <x:c r="E145" s="66"/>
      <x:c r="F145" s="66"/>
      <x:c r="G145" s="66"/>
      <x:c r="H145" s="56"/>
      <x:c r="I145" s="56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</x:row>
    <x:row r="146" ht="32" customHeight="1">
      <x:c r="A146" s="56" t="str">
        <x:v>Câu cần sửa</x:v>
      </x:c>
      <x:c r="B146" s="66" t="str">
        <x:f>IF(AND(B143="Xong",R181=K181,S181=0),IF(X181="","Không có câu sai/bỏ",X181),"Chỉ hiện sau khi làm xong")</x:f>
        <x:v>Chỉ hiện sau khi làm xong</x:v>
      </x:c>
      <x:c r="C146" s="66"/>
      <x:c r="D146" s="66"/>
      <x:c r="E146" s="66"/>
      <x:c r="F146" s="66"/>
      <x:c r="G146" s="66"/>
      <x:c r="H146" s="56"/>
      <x:c r="I146" s="56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</x:row>
    <x:row r="147" ht="28" customHeight="1">
      <x:c r="A147" s="56" t="str">
        <x:v>Lỗi chính</x:v>
      </x:c>
      <x:c r="B147" s="61"/>
      <x:c r="C147" s="56"/>
      <x:c r="D147" s="56"/>
      <x:c r="E147" s="58" t="str">
        <x:v>Xem tuần</x:v>
      </x:c>
      <x:c r="F147" s="56"/>
      <x:c r="G147" s="56"/>
      <x:c r="H147" s="56"/>
      <x:c r="I147" s="56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</x:row>
    <x:row r="148" ht="32" customHeight="1">
      <x:c r="A148" s="56" t="str">
        <x:v>Tiếp theo</x:v>
      </x:c>
      <x:c r="B148" s="66" t="str">
        <x:f>IF(P181="Đã chấm","Chọn 1 lỗi để chữa 5-10 phút rồi dừng.",IF(P181="Trùng hai chế độ","Giữ lịch sử ở Chẩn đoán; xóa bản nhập trùng ở đây.","Hoàn tất khi đủ sức; không ép làm khối tiếp."))</x:f>
        <x:v>Hoàn tất khi đủ sức; không ép làm khối tiếp.</x:v>
      </x:c>
      <x:c r="C148" s="66"/>
      <x:c r="D148" s="66"/>
      <x:c r="E148" s="66"/>
      <x:c r="F148" s="66"/>
      <x:c r="G148" s="66"/>
      <x:c r="H148" s="56"/>
      <x:c r="I148" s="56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</x:row>
    <x:row r="149" ht="28" customHeight="1">
      <x:c r="A149" s="56"/>
      <x:c r="B149" s="56"/>
      <x:c r="C149" s="56"/>
      <x:c r="D149" s="56"/>
      <x:c r="E149" s="56"/>
      <x:c r="F149" s="56"/>
      <x:c r="G149" s="56"/>
      <x:c r="H149" s="56"/>
      <x:c r="I149" s="56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</x:row>
    <x:row r="150" ht="30" customHeight="1">
      <x:c r="A150" s="60" t="str">
        <x:v>N3-L2 · Nghe · 10 phút làm</x:v>
      </x:c>
      <x:c r="B150" s="60"/>
      <x:c r="C150" s="60"/>
      <x:c r="D150" s="60"/>
      <x:c r="E150" s="60"/>
      <x:c r="F150" s="60"/>
      <x:c r="G150" s="60"/>
      <x:c r="H150" s="56"/>
      <x:c r="I150" s="56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</x:row>
    <x:row r="151" ht="28" customHeight="1">
      <x:c r="A151" s="56" t="str">
        <x:v>Nguồn JLPT</x:v>
      </x:c>
      <x:c r="B151" s="58" t="str">
        <x:v>Mở đề</x:v>
      </x:c>
      <x:c r="C151" s="56"/>
      <x:c r="D151" s="56"/>
      <x:c r="E151" s="58" t="str">
        <x:v>Khóa sau khi làm</x:v>
      </x:c>
      <x:c r="F151" s="56"/>
      <x:c r="G151" s="56"/>
      <x:c r="H151" s="56"/>
      <x:c r="I151" s="56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</x:row>
    <x:row r="152" ht="28" customHeight="1">
      <x:c r="A152" s="56" t="str">
        <x:v>Câu</x:v>
      </x:c>
      <x:c r="B152" s="56" t="str">
        <x:v>M3-1</x:v>
      </x:c>
      <x:c r="C152" s="56" t="str">
        <x:v>M3-2</x:v>
      </x:c>
      <x:c r="D152" s="56" t="str">
        <x:v>M4-1</x:v>
      </x:c>
      <x:c r="E152" s="56" t="str">
        <x:v>M4-2</x:v>
      </x:c>
      <x:c r="F152" s="56" t="str">
        <x:v>M5-1</x:v>
      </x:c>
      <x:c r="G152" s="56" t="str">
        <x:v>M5-2</x:v>
      </x:c>
      <x:c r="H152" s="56"/>
      <x:c r="I152" s="56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</x:row>
    <x:row r="153" ht="28" customHeight="1">
      <x:c r="A153" s="56" t="str">
        <x:v>Bạn chọn</x:v>
      </x:c>
      <x:c r="B153" s="63"/>
      <x:c r="C153" s="63"/>
      <x:c r="D153" s="63"/>
      <x:c r="E153" s="63"/>
      <x:c r="F153" s="63"/>
      <x:c r="G153" s="63"/>
      <x:c r="H153" s="56"/>
      <x:c r="I153" s="56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</x:row>
    <x:row r="154" ht="28" customHeight="1">
      <x:c r="A154" s="56"/>
      <x:c r="B154" s="56"/>
      <x:c r="C154" s="56"/>
      <x:c r="D154" s="56"/>
      <x:c r="E154" s="56"/>
      <x:c r="F154" s="56"/>
      <x:c r="G154" s="56"/>
      <x:c r="H154" s="56"/>
      <x:c r="I154" s="56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</x:row>
    <x:row r="155" ht="28" customHeight="1">
      <x:c r="A155" s="56"/>
      <x:c r="B155" s="56"/>
      <x:c r="C155" s="56"/>
      <x:c r="D155" s="56"/>
      <x:c r="E155" s="56"/>
      <x:c r="F155" s="56"/>
      <x:c r="G155" s="56"/>
      <x:c r="H155" s="56"/>
      <x:c r="I155" s="56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</x:row>
    <x:row r="156" ht="28" customHeight="1">
      <x:c r="A156" s="56" t="str">
        <x:v>Ngày thật</x:v>
      </x:c>
      <x:c r="B156" s="64"/>
      <x:c r="C156" s="56" t="str">
        <x:v>Phút làm</x:v>
      </x:c>
      <x:c r="D156" s="61"/>
      <x:c r="E156" s="56" t="str">
        <x:v>Loại câu</x:v>
      </x:c>
      <x:c r="F156" s="61"/>
      <x:c r="G156" s="56"/>
      <x:c r="H156" s="56"/>
      <x:c r="I156" s="56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</x:row>
    <x:row r="157" ht="28" customHeight="1">
      <x:c r="A157" s="56" t="str">
        <x:v>Chấm sau giờ</x:v>
      </x:c>
      <x:c r="B157" s="61"/>
      <x:c r="C157" s="56"/>
      <x:c r="D157" s="56" t="str">
        <x:v>Dở dang: để nguyên; chưa chọn Xong.</x:v>
      </x:c>
      <x:c r="E157" s="56"/>
      <x:c r="F157" s="56"/>
      <x:c r="G157" s="56"/>
      <x:c r="H157" s="56"/>
      <x:c r="I157" s="56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</x:row>
    <x:row r="158" ht="32" customHeight="1">
      <x:c r="A158" s="56" t="str">
        <x:v>Trạng thái</x:v>
      </x:c>
      <x:c r="B158" s="66" t="str">
        <x:f>P182</x:f>
        <x:v>Chưa làm</x:v>
      </x:c>
      <x:c r="C158" s="66"/>
      <x:c r="D158" s="66"/>
      <x:c r="E158" s="66"/>
      <x:c r="F158" s="66"/>
      <x:c r="G158" s="66"/>
      <x:c r="H158" s="56"/>
      <x:c r="I158" s="56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</x:row>
    <x:row r="159" ht="32" customHeight="1">
      <x:c r="A159" s="56" t="str">
        <x:v>Kết quả</x:v>
      </x:c>
      <x:c r="B159" s="66" t="str">
        <x:f>IF(AND(B157="Xong",R182=K182,S182=0),T182&amp;"/"&amp;K182&amp;" đúng; 0 vẫn tính bỏ câu","Đã ghi "&amp;R182&amp;"/"&amp;K182&amp;"; chưa hiện điểm")</x:f>
        <x:v>Đã ghi 0/6; chưa hiện điểm</x:v>
      </x:c>
      <x:c r="C159" s="66"/>
      <x:c r="D159" s="66"/>
      <x:c r="E159" s="66"/>
      <x:c r="F159" s="66"/>
      <x:c r="G159" s="66"/>
      <x:c r="H159" s="56"/>
      <x:c r="I159" s="56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</x:row>
    <x:row r="160" ht="32" customHeight="1">
      <x:c r="A160" s="56" t="str">
        <x:v>Câu cần sửa</x:v>
      </x:c>
      <x:c r="B160" s="66" t="str">
        <x:f>IF(AND(B157="Xong",R182=K182,S182=0),IF(X182="","Không có câu sai/bỏ",X182),"Chỉ hiện sau khi làm xong")</x:f>
        <x:v>Chỉ hiện sau khi làm xong</x:v>
      </x:c>
      <x:c r="C160" s="66"/>
      <x:c r="D160" s="66"/>
      <x:c r="E160" s="66"/>
      <x:c r="F160" s="66"/>
      <x:c r="G160" s="66"/>
      <x:c r="H160" s="56"/>
      <x:c r="I160" s="56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</x:row>
    <x:row r="161" ht="28" customHeight="1">
      <x:c r="A161" s="56" t="str">
        <x:v>Lỗi chính</x:v>
      </x:c>
      <x:c r="B161" s="61"/>
      <x:c r="C161" s="56"/>
      <x:c r="D161" s="56"/>
      <x:c r="E161" s="58" t="str">
        <x:v>Xem tuần</x:v>
      </x:c>
      <x:c r="F161" s="56"/>
      <x:c r="G161" s="56"/>
      <x:c r="H161" s="56"/>
      <x:c r="I161" s="56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</x:row>
    <x:row r="162" ht="32" customHeight="1">
      <x:c r="A162" s="56" t="str">
        <x:v>Tiếp theo</x:v>
      </x:c>
      <x:c r="B162" s="66" t="str">
        <x:f>IF(P182="Đã chấm","Chọn 1 lỗi để chữa 5-10 phút rồi dừng.",IF(P182="Trùng hai chế độ","Giữ lịch sử ở Chẩn đoán; xóa bản nhập trùng ở đây.","Hoàn tất khi đủ sức; không ép làm khối tiếp."))</x:f>
        <x:v>Hoàn tất khi đủ sức; không ép làm khối tiếp.</x:v>
      </x:c>
      <x:c r="C162" s="66"/>
      <x:c r="D162" s="66"/>
      <x:c r="E162" s="66"/>
      <x:c r="F162" s="66"/>
      <x:c r="G162" s="66"/>
      <x:c r="H162" s="56"/>
      <x:c r="I162" s="56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</x:row>
    <x:row r="163" ht="28" customHeight="1">
      <x:c r="A163" s="56"/>
      <x:c r="B163" s="56"/>
      <x:c r="C163" s="56"/>
      <x:c r="D163" s="56"/>
      <x:c r="E163" s="56"/>
      <x:c r="F163" s="56"/>
      <x:c r="G163" s="56"/>
      <x:c r="H163" s="56"/>
      <x:c r="I163" s="56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</x:row>
    <x:row r="164" ht="28" customHeight="1">
      <x:c r="A164" s="56"/>
      <x:c r="B164" s="56"/>
      <x:c r="C164" s="56"/>
      <x:c r="D164" s="56"/>
      <x:c r="E164" s="56"/>
      <x:c r="F164" s="56"/>
      <x:c r="G164" s="56"/>
      <x:c r="H164" s="56"/>
      <x:c r="I164" s="56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</x:row>
    <x:row r="165" ht="28" customHeight="1">
      <x:c r="A165" s="56"/>
      <x:c r="B165" s="56"/>
      <x:c r="C165" s="56"/>
      <x:c r="D165" s="56"/>
      <x:c r="E165" s="56"/>
      <x:c r="F165" s="56"/>
      <x:c r="G165" s="56"/>
      <x:c r="H165" s="56"/>
      <x:c r="I165" s="56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</x:row>
    <x:row r="166" ht="28" customHeight="1">
      <x:c r="A166" s="56"/>
      <x:c r="B166" s="56"/>
      <x:c r="C166" s="56"/>
      <x:c r="D166" s="56"/>
      <x:c r="E166" s="56"/>
      <x:c r="F166" s="56"/>
      <x:c r="G166" s="56"/>
      <x:c r="H166" s="56"/>
      <x:c r="I166" s="56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</x:row>
    <x:row r="167" ht="28" customHeight="1">
      <x:c r="A167" s="56"/>
      <x:c r="B167" s="56"/>
      <x:c r="C167" s="56"/>
      <x:c r="D167" s="56"/>
      <x:c r="E167" s="56"/>
      <x:c r="F167" s="56"/>
      <x:c r="G167" s="56"/>
      <x:c r="H167" s="56"/>
      <x:c r="I167" s="56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</x:row>
    <x:row r="168" ht="28" customHeight="1">
      <x:c r="A168" s="56"/>
      <x:c r="B168" s="56"/>
      <x:c r="C168" s="56"/>
      <x:c r="D168" s="56"/>
      <x:c r="E168" s="56"/>
      <x:c r="F168" s="56"/>
      <x:c r="G168" s="56"/>
      <x:c r="H168" s="56"/>
      <x:c r="I168" s="56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</x:row>
    <x:row r="169" ht="28" customHeight="1">
      <x:c r="A169" s="56"/>
      <x:c r="B169" s="56"/>
      <x:c r="C169" s="56"/>
      <x:c r="D169" s="56"/>
      <x:c r="E169" s="56"/>
      <x:c r="F169" s="56"/>
      <x:c r="G169" s="56"/>
      <x:c r="H169" s="56"/>
      <x:c r="I169" s="56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</x:row>
    <x:row r="170" ht="28" customHeight="1">
      <x:c r="A170" s="56"/>
      <x:c r="B170" s="56"/>
      <x:c r="C170" s="56"/>
      <x:c r="D170" s="56"/>
      <x:c r="E170" s="56"/>
      <x:c r="F170" s="56"/>
      <x:c r="G170" s="56"/>
      <x:c r="H170" s="56"/>
      <x:c r="I170" s="56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</x:row>
    <x:row r="171" ht="28" customHeight="1">
      <x:c r="A171" s="56"/>
      <x:c r="B171" s="56"/>
      <x:c r="C171" s="56"/>
      <x:c r="D171" s="56"/>
      <x:c r="E171" s="56"/>
      <x:c r="F171" s="56"/>
      <x:c r="G171" s="56"/>
      <x:c r="H171" s="56"/>
      <x:c r="I171" s="56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</x:row>
    <x:row r="172" ht="28" customHeight="1">
      <x:c r="A172" s="56"/>
      <x:c r="B172" s="56"/>
      <x:c r="C172" s="56"/>
      <x:c r="D172" s="56"/>
      <x:c r="E172" s="56"/>
      <x:c r="F172" s="56"/>
      <x:c r="G172" s="56"/>
      <x:c r="H172" s="56"/>
      <x:c r="I172" s="56" t="str">
        <x:v>N4-G1</x:v>
      </x:c>
      <x:c r="J172" s="56" t="str">
        <x:f>IF(AND(U172&gt;0,V172&gt;0),"Trùng hai chế độ",IF(U172&gt;0,"Chi tiết",IF(V172&gt;0,"Nhanh","")))</x:f>
      </x:c>
      <x:c r="K172" s="56" t="n">
        <x:v>6</x:v>
      </x:c>
      <x:c r="L172" s="56" t="str">
        <x:f>IF(P172="Đã chấm",IF(J172="Chi tiết",'Chẩn đoán'!F78,T172),"")</x:f>
      </x:c>
      <x:c r="M172" s="56" t="str">
        <x:f>IF(P172="Đã chấm",IF(J172="Chi tiết",'Chẩn đoán'!H78,B16),"")</x:f>
      </x:c>
      <x:c r="N172" s="56" t="str">
        <x:f>IF(P172="Đã chấm",IF(J172="Chi tiết",'Chẩn đoán'!I78,D16),"")</x:f>
      </x:c>
      <x:c r="O172" s="56" t="str">
        <x:f>IF(P172="Đã chấm",IF(J172="Chi tiết",'Chẩn đoán'!J78,F16),"")</x:f>
      </x:c>
      <x:c r="P172" s="56" t="str">
        <x:f>IF(J172="Trùng hai chế độ",J172,IF(J172="Chi tiết",'Chẩn đoán'!K78,W172))</x:f>
        <x:v>Chưa làm</x:v>
      </x:c>
      <x:c r="Q172" s="56" t="str">
        <x:f>IF(AND(P172="Đã chấm",J172="Nhanh",LEN(B21)&gt;0),B21,"")</x:f>
      </x:c>
      <x:c r="R172" s="56" t="n">
        <x:f>SUM(IF(ISBLANK(B13),0,1),IF(ISBLANK(C13),0,1),IF(ISBLANK(D13),0,1),IF(ISBLANK(E13),0,1),IF(ISBLANK(F13),0,1),IF(ISBLANK(G13),0,1))</x:f>
        <x:v>0</x:v>
      </x:c>
      <x:c r="S172" s="56" t="n">
        <x:f>COUNTIF(I16:I21,-1)</x:f>
        <x:v>0</x:v>
      </x:c>
      <x:c r="T172" s="56" t="n">
        <x:f>SUM(J16:J21)</x:f>
        <x:v>0</x:v>
      </x:c>
      <x:c r="U172" s="56" t="n">
        <x:f>COUNTA('Chẩn đoán'!F8:H13,'Chẩn đoán'!H78:J78)</x:f>
        <x:v>0</x:v>
      </x:c>
      <x:c r="V172" s="56" t="n">
        <x:f>COUNTA(B13,C13,D13,E13,F13,G13,B16,D16,F16,B17,B21)</x:f>
        <x:v>0</x:v>
      </x:c>
      <x:c r="W172" s="56" t="str">
        <x:f>IF(V172=0,"Chưa làm",IF(S172&gt;0,"Sửa đáp án",IF(R172&lt;K172,"Còn "&amp;(K172-R172)&amp;" câu",IF(B17&lt;&gt;"Xong","Chọn Xong để chấm",IF(NOT(IF(ISNUMBER(B16),AND(B16&gt;=1,B16&lt;=2958465,MOD(B16,1)=0),FALSE)),"Thiếu/sai ngày",IF(NOT(IF(ISNUMBER(D16),AND(D16&gt;0,D16&lt;=180),FALSE)),"Thiếu/sai phút",IF(AND(F16&lt;&gt;"Mới",F16&lt;&gt;"Ôn lại"),"Chọn Mới/Ôn lại",IF(AND(LEN(B21)&gt;0,COUNTIF('Nhật ký'!$I$63:$I$69,B21)=0),"Sửa mã lỗi","Đã chấm"))))))))</x:f>
        <x:v>Chưa làm</x:v>
      </x:c>
      <x:c r="X172" s="56" t="str">
        <x:f>IF(AND(B17="Xong",R172=K172,S172=0),IF(B13='Chẩn đoán'!N8,"","1, ")&amp;IF(C13='Chẩn đoán'!N9,"","2, ")&amp;IF(D13='Chẩn đoán'!N10,"","3, ")&amp;IF(E13='Chẩn đoán'!N11,"","4, ")&amp;IF(F13='Chẩn đoán'!N12,"","5, ")&amp;IF(G13='Chẩn đoán'!N13,"","6, "),"")</x:f>
      </x:c>
      <x:c r="Y172" s="56" t="n">
        <x:v>6</x:v>
      </x:c>
    </x:row>
    <x:row r="173" ht="28" customHeight="1">
      <x:c r="A173" s="56"/>
      <x:c r="B173" s="56"/>
      <x:c r="C173" s="56"/>
      <x:c r="D173" s="56"/>
      <x:c r="E173" s="56"/>
      <x:c r="F173" s="56"/>
      <x:c r="G173" s="56"/>
      <x:c r="H173" s="56"/>
      <x:c r="I173" s="56" t="str">
        <x:v>N4-G2</x:v>
      </x:c>
      <x:c r="J173" s="56" t="str">
        <x:f>IF(AND(U173&gt;0,V173&gt;0),"Trùng hai chế độ",IF(U173&gt;0,"Chi tiết",IF(V173&gt;0,"Nhanh","")))</x:f>
      </x:c>
      <x:c r="K173" s="56" t="n">
        <x:v>7</x:v>
      </x:c>
      <x:c r="L173" s="56" t="str">
        <x:f>IF(P173="Đã chấm",IF(J173="Chi tiết",'Chẩn đoán'!F79,T173),"")</x:f>
      </x:c>
      <x:c r="M173" s="56" t="str">
        <x:f>IF(P173="Đã chấm",IF(J173="Chi tiết",'Chẩn đoán'!H79,B30),"")</x:f>
      </x:c>
      <x:c r="N173" s="56" t="str">
        <x:f>IF(P173="Đã chấm",IF(J173="Chi tiết",'Chẩn đoán'!I79,D30),"")</x:f>
      </x:c>
      <x:c r="O173" s="56" t="str">
        <x:f>IF(P173="Đã chấm",IF(J173="Chi tiết",'Chẩn đoán'!J79,F30),"")</x:f>
      </x:c>
      <x:c r="P173" s="56" t="str">
        <x:f>IF(J173="Trùng hai chế độ",J173,IF(J173="Chi tiết",'Chẩn đoán'!K79,W173))</x:f>
        <x:v>Chưa làm</x:v>
      </x:c>
      <x:c r="Q173" s="56" t="str">
        <x:f>IF(AND(P173="Đã chấm",J173="Nhanh",LEN(B35)&gt;0),B35,"")</x:f>
      </x:c>
      <x:c r="R173" s="56" t="n">
        <x:f>SUM(IF(ISBLANK(B27),0,1),IF(ISBLANK(C27),0,1),IF(ISBLANK(D27),0,1),IF(ISBLANK(E27),0,1),IF(ISBLANK(F27),0,1),IF(ISBLANK(G27),0,1),IF(ISBLANK(B29),0,1))</x:f>
        <x:v>0</x:v>
      </x:c>
      <x:c r="S173" s="56" t="n">
        <x:f>COUNTIF(I22:I28,-1)</x:f>
        <x:v>0</x:v>
      </x:c>
      <x:c r="T173" s="56" t="n">
        <x:f>SUM(J22:J28)</x:f>
        <x:v>0</x:v>
      </x:c>
      <x:c r="U173" s="56" t="n">
        <x:f>COUNTA('Chẩn đoán'!F14:H20,'Chẩn đoán'!H79:J79)</x:f>
        <x:v>0</x:v>
      </x:c>
      <x:c r="V173" s="56" t="n">
        <x:f>COUNTA(B27,C27,D27,E27,F27,G27,B29,B30,D30,F30,B31,B35)</x:f>
        <x:v>0</x:v>
      </x:c>
      <x:c r="W173" s="56" t="str">
        <x:f>IF(V173=0,"Chưa làm",IF(S173&gt;0,"Sửa đáp án",IF(R173&lt;K173,"Còn "&amp;(K173-R173)&amp;" câu",IF(B31&lt;&gt;"Xong","Chọn Xong để chấm",IF(NOT(IF(ISNUMBER(B30),AND(B30&gt;=1,B30&lt;=2958465,MOD(B30,1)=0),FALSE)),"Thiếu/sai ngày",IF(NOT(IF(ISNUMBER(D30),AND(D30&gt;0,D30&lt;=180),FALSE)),"Thiếu/sai phút",IF(AND(F30&lt;&gt;"Mới",F30&lt;&gt;"Ôn lại"),"Chọn Mới/Ôn lại",IF(AND(LEN(B35)&gt;0,COUNTIF('Nhật ký'!$I$63:$I$69,B35)=0),"Sửa mã lỗi","Đã chấm"))))))))</x:f>
        <x:v>Chưa làm</x:v>
      </x:c>
      <x:c r="X173" s="56" t="str">
        <x:f>IF(AND(B31="Xong",R173=K173,S173=0),IF(B27='Chẩn đoán'!N14,"","16, ")&amp;IF(C27='Chẩn đoán'!N15,"","17, ")&amp;IF(D27='Chẩn đoán'!N16,"","21, ")&amp;IF(E27='Chẩn đoán'!N17,"","22, ")&amp;IF(F27='Chẩn đoán'!N18,"","23, ")&amp;IF(G27='Chẩn đoán'!N19,"","24, ")&amp;IF(B29='Chẩn đoán'!N20,"","25, "),"")</x:f>
      </x:c>
      <x:c r="Y173" s="56" t="n">
        <x:v>7</x:v>
      </x:c>
    </x:row>
    <x:row r="174" ht="28" customHeight="1">
      <x:c r="A174" s="56"/>
      <x:c r="B174" s="56"/>
      <x:c r="C174" s="56"/>
      <x:c r="D174" s="56"/>
      <x:c r="E174" s="56"/>
      <x:c r="F174" s="56"/>
      <x:c r="G174" s="56"/>
      <x:c r="H174" s="56"/>
      <x:c r="I174" s="56" t="str">
        <x:v>N4-V</x:v>
      </x:c>
      <x:c r="J174" s="56" t="str">
        <x:f>IF(AND(U174&gt;0,V174&gt;0),"Trùng hai chế độ",IF(U174&gt;0,"Chi tiết",IF(V174&gt;0,"Nhanh","")))</x:f>
      </x:c>
      <x:c r="K174" s="56" t="n">
        <x:v>10</x:v>
      </x:c>
      <x:c r="L174" s="56" t="str">
        <x:f>IF(P174="Đã chấm",IF(J174="Chi tiết",'Chẩn đoán'!F80,T174),"")</x:f>
      </x:c>
      <x:c r="M174" s="56" t="str">
        <x:f>IF(P174="Đã chấm",IF(J174="Chi tiết",'Chẩn đoán'!H80,B44),"")</x:f>
      </x:c>
      <x:c r="N174" s="56" t="str">
        <x:f>IF(P174="Đã chấm",IF(J174="Chi tiết",'Chẩn đoán'!I80,D44),"")</x:f>
      </x:c>
      <x:c r="O174" s="56" t="str">
        <x:f>IF(P174="Đã chấm",IF(J174="Chi tiết",'Chẩn đoán'!J80,F44),"")</x:f>
      </x:c>
      <x:c r="P174" s="56" t="str">
        <x:f>IF(J174="Trùng hai chế độ",J174,IF(J174="Chi tiết",'Chẩn đoán'!K80,W174))</x:f>
        <x:v>Chưa làm</x:v>
      </x:c>
      <x:c r="Q174" s="56" t="str">
        <x:f>IF(AND(P174="Đã chấm",J174="Nhanh",LEN(B49)&gt;0),B49,"")</x:f>
      </x:c>
      <x:c r="R174" s="56" t="n">
        <x:f>SUM(IF(ISBLANK(B41),0,1),IF(ISBLANK(C41),0,1),IF(ISBLANK(D41),0,1),IF(ISBLANK(E41),0,1),IF(ISBLANK(F41),0,1),IF(ISBLANK(G41),0,1),IF(ISBLANK(B43),0,1),IF(ISBLANK(C43),0,1),IF(ISBLANK(D43),0,1),IF(ISBLANK(E43),0,1))</x:f>
        <x:v>0</x:v>
      </x:c>
      <x:c r="S174" s="56" t="n">
        <x:f>COUNTIF(I29:I38,-1)</x:f>
        <x:v>0</x:v>
      </x:c>
      <x:c r="T174" s="56" t="n">
        <x:f>SUM(J29:J38)</x:f>
        <x:v>0</x:v>
      </x:c>
      <x:c r="U174" s="56" t="n">
        <x:f>COUNTA('Chẩn đoán'!F21:H30,'Chẩn đoán'!H80:J80)</x:f>
        <x:v>0</x:v>
      </x:c>
      <x:c r="V174" s="56" t="n">
        <x:f>COUNTA(B41,C41,D41,E41,F41,G41,B43,C43,D43,E43,B44,D44,F44,B45,B49)</x:f>
        <x:v>0</x:v>
      </x:c>
      <x:c r="W174" s="56" t="str">
        <x:f>IF(V174=0,"Chưa làm",IF(S174&gt;0,"Sửa đáp án",IF(R174&lt;K174,"Còn "&amp;(K174-R174)&amp;" câu",IF(B45&lt;&gt;"Xong","Chọn Xong để chấm",IF(NOT(IF(ISNUMBER(B44),AND(B44&gt;=1,B44&lt;=2958465,MOD(B44,1)=0),FALSE)),"Thiếu/sai ngày",IF(NOT(IF(ISNUMBER(D44),AND(D44&gt;0,D44&lt;=180),FALSE)),"Thiếu/sai phút",IF(AND(F44&lt;&gt;"Mới",F44&lt;&gt;"Ôn lại"),"Chọn Mới/Ôn lại",IF(AND(LEN(B49)&gt;0,COUNTIF('Nhật ký'!$I$63:$I$69,B49)=0),"Sửa mã lỗi","Đã chấm"))))))))</x:f>
        <x:v>Chưa làm</x:v>
      </x:c>
      <x:c r="X174" s="56" t="str">
        <x:f>IF(AND(B45="Xong",R174=K174,S174=0),IF(B41='Chẩn đoán'!N21,"","1, ")&amp;IF(C41='Chẩn đoán'!N22,"","2, ")&amp;IF(D41='Chẩn đoán'!N23,"","10, ")&amp;IF(E41='Chẩn đoán'!N24,"","11, ")&amp;IF(F41='Chẩn đoán'!N25,"","16, ")&amp;IF(G41='Chẩn đoán'!N26,"","17, ")&amp;IF(B43='Chẩn đoán'!N27,"","26, ")&amp;IF(C43='Chẩn đoán'!N28,"","27, ")&amp;IF(D43='Chẩn đoán'!N29,"","31, ")&amp;IF(E43='Chẩn đoán'!N30,"","32, "),"")</x:f>
      </x:c>
      <x:c r="Y174" s="56" t="n">
        <x:v>10</x:v>
      </x:c>
    </x:row>
    <x:row r="175" ht="28" customHeight="1">
      <x:c r="A175" s="56"/>
      <x:c r="B175" s="56"/>
      <x:c r="C175" s="56"/>
      <x:c r="D175" s="56"/>
      <x:c r="E175" s="56"/>
      <x:c r="F175" s="56"/>
      <x:c r="G175" s="56"/>
      <x:c r="H175" s="56"/>
      <x:c r="I175" s="56" t="str">
        <x:v>N4-R</x:v>
      </x:c>
      <x:c r="J175" s="56" t="str">
        <x:f>IF(AND(U175&gt;0,V175&gt;0),"Trùng hai chế độ",IF(U175&gt;0,"Chi tiết",IF(V175&gt;0,"Nhanh","")))</x:f>
      </x:c>
      <x:c r="K175" s="56" t="n">
        <x:v>5</x:v>
      </x:c>
      <x:c r="L175" s="56" t="str">
        <x:f>IF(P175="Đã chấm",IF(J175="Chi tiết",'Chẩn đoán'!F81,T175),"")</x:f>
      </x:c>
      <x:c r="M175" s="56" t="str">
        <x:f>IF(P175="Đã chấm",IF(J175="Chi tiết",'Chẩn đoán'!H81,B58),"")</x:f>
      </x:c>
      <x:c r="N175" s="56" t="str">
        <x:f>IF(P175="Đã chấm",IF(J175="Chi tiết",'Chẩn đoán'!I81,D58),"")</x:f>
      </x:c>
      <x:c r="O175" s="56" t="str">
        <x:f>IF(P175="Đã chấm",IF(J175="Chi tiết",'Chẩn đoán'!J81,F58),"")</x:f>
      </x:c>
      <x:c r="P175" s="56" t="str">
        <x:f>IF(J175="Trùng hai chế độ",J175,IF(J175="Chi tiết",'Chẩn đoán'!K81,W175))</x:f>
        <x:v>Chưa làm</x:v>
      </x:c>
      <x:c r="Q175" s="56" t="str">
        <x:f>IF(AND(P175="Đã chấm",J175="Nhanh",LEN(B63)&gt;0),B63,"")</x:f>
      </x:c>
      <x:c r="R175" s="56" t="n">
        <x:f>SUM(IF(ISBLANK(B55),0,1),IF(ISBLANK(C55),0,1),IF(ISBLANK(D55),0,1),IF(ISBLANK(E55),0,1),IF(ISBLANK(F55),0,1))</x:f>
        <x:v>0</x:v>
      </x:c>
      <x:c r="S175" s="56" t="n">
        <x:f>COUNTIF(I39:I43,-1)</x:f>
        <x:v>0</x:v>
      </x:c>
      <x:c r="T175" s="56" t="n">
        <x:f>SUM(J39:J43)</x:f>
        <x:v>0</x:v>
      </x:c>
      <x:c r="U175" s="56" t="n">
        <x:f>COUNTA('Chẩn đoán'!F31:H35,'Chẩn đoán'!H81:J81)</x:f>
        <x:v>0</x:v>
      </x:c>
      <x:c r="V175" s="56" t="n">
        <x:f>COUNTA(B55,C55,D55,E55,F55,B58,D58,F58,B59,B63)</x:f>
        <x:v>0</x:v>
      </x:c>
      <x:c r="W175" s="56" t="str">
        <x:f>IF(V175=0,"Chưa làm",IF(S175&gt;0,"Sửa đáp án",IF(R175&lt;K175,"Còn "&amp;(K175-R175)&amp;" câu",IF(B59&lt;&gt;"Xong","Chọn Xong để chấm",IF(NOT(IF(ISNUMBER(B58),AND(B58&gt;=1,B58&lt;=2958465,MOD(B58,1)=0),FALSE)),"Thiếu/sai ngày",IF(NOT(IF(ISNUMBER(D58),AND(D58&gt;0,D58&lt;=180),FALSE)),"Thiếu/sai phút",IF(AND(F58&lt;&gt;"Mới",F58&lt;&gt;"Ôn lại"),"Chọn Mới/Ôn lại",IF(AND(LEN(B63)&gt;0,COUNTIF('Nhật ký'!$I$63:$I$69,B63)=0),"Sửa mã lỗi","Đã chấm"))))))))</x:f>
        <x:v>Chưa làm</x:v>
      </x:c>
      <x:c r="X175" s="56" t="str">
        <x:f>IF(AND(B59="Xong",R175=K175,S175=0),IF(B55='Chẩn đoán'!N31,"","26, ")&amp;IF(C55='Chẩn đoán'!N32,"","30, ")&amp;IF(D55='Chẩn đoán'!N33,"","31, ")&amp;IF(E55='Chẩn đoán'!N34,"","32, ")&amp;IF(F55='Chẩn đoán'!N35,"","33, "),"")</x:f>
      </x:c>
      <x:c r="Y175" s="56" t="n">
        <x:v>5</x:v>
      </x:c>
    </x:row>
    <x:row r="176" ht="28" customHeight="1">
      <x:c r="A176" s="56"/>
      <x:c r="B176" s="56"/>
      <x:c r="C176" s="56"/>
      <x:c r="D176" s="56"/>
      <x:c r="E176" s="56"/>
      <x:c r="F176" s="56"/>
      <x:c r="G176" s="56"/>
      <x:c r="H176" s="56"/>
      <x:c r="I176" s="56" t="str">
        <x:v>N4-L1</x:v>
      </x:c>
      <x:c r="J176" s="56" t="str">
        <x:f>IF(AND(U176&gt;0,V176&gt;0),"Trùng hai chế độ",IF(U176&gt;0,"Chi tiết",IF(V176&gt;0,"Nhanh","")))</x:f>
      </x:c>
      <x:c r="K176" s="56" t="n">
        <x:v>4</x:v>
      </x:c>
      <x:c r="L176" s="56" t="str">
        <x:f>IF(P176="Đã chấm",IF(J176="Chi tiết",'Chẩn đoán'!F82,T176),"")</x:f>
      </x:c>
      <x:c r="M176" s="56" t="str">
        <x:f>IF(P176="Đã chấm",IF(J176="Chi tiết",'Chẩn đoán'!H82,B72),"")</x:f>
      </x:c>
      <x:c r="N176" s="56" t="str">
        <x:f>IF(P176="Đã chấm",IF(J176="Chi tiết",'Chẩn đoán'!I82,D72),"")</x:f>
      </x:c>
      <x:c r="O176" s="56" t="str">
        <x:f>IF(P176="Đã chấm",IF(J176="Chi tiết",'Chẩn đoán'!J82,F72),"")</x:f>
      </x:c>
      <x:c r="P176" s="56" t="str">
        <x:f>IF(J176="Trùng hai chế độ",J176,IF(J176="Chi tiết",'Chẩn đoán'!K82,W176))</x:f>
        <x:v>Chưa làm</x:v>
      </x:c>
      <x:c r="Q176" s="56" t="str">
        <x:f>IF(AND(P176="Đã chấm",J176="Nhanh",LEN(B77)&gt;0),B77,"")</x:f>
      </x:c>
      <x:c r="R176" s="56" t="n">
        <x:f>SUM(IF(ISBLANK(B69),0,1),IF(ISBLANK(C69),0,1),IF(ISBLANK(D69),0,1),IF(ISBLANK(E69),0,1))</x:f>
        <x:v>0</x:v>
      </x:c>
      <x:c r="S176" s="56" t="n">
        <x:f>COUNTIF(I44:I47,-1)</x:f>
        <x:v>0</x:v>
      </x:c>
      <x:c r="T176" s="56" t="n">
        <x:f>SUM(J44:J47)</x:f>
        <x:v>0</x:v>
      </x:c>
      <x:c r="U176" s="56" t="n">
        <x:f>COUNTA('Chẩn đoán'!F36:H39,'Chẩn đoán'!H82:J82)</x:f>
        <x:v>0</x:v>
      </x:c>
      <x:c r="V176" s="56" t="n">
        <x:f>COUNTA(B69,C69,D69,E69,B72,D72,F72,B73,B77)</x:f>
        <x:v>0</x:v>
      </x:c>
      <x:c r="W176" s="56" t="str">
        <x:f>IF(V176=0,"Chưa làm",IF(S176&gt;0,"Sửa đáp án",IF(R176&lt;K176,"Còn "&amp;(K176-R176)&amp;" câu",IF(B73&lt;&gt;"Xong","Chọn Xong để chấm",IF(NOT(IF(ISNUMBER(B72),AND(B72&gt;=1,B72&lt;=2958465,MOD(B72,1)=0),FALSE)),"Thiếu/sai ngày",IF(NOT(IF(ISNUMBER(D72),AND(D72&gt;0,D72&lt;=180),FALSE)),"Thiếu/sai phút",IF(AND(F72&lt;&gt;"Mới",F72&lt;&gt;"Ôn lại"),"Chọn Mới/Ôn lại",IF(AND(LEN(B77)&gt;0,COUNTIF('Nhật ký'!$I$63:$I$69,B77)=0),"Sửa mã lỗi","Đã chấm"))))))))</x:f>
        <x:v>Chưa làm</x:v>
      </x:c>
      <x:c r="X176" s="56" t="str">
        <x:f>IF(AND(B73="Xong",R176=K176,S176=0),IF(B69='Chẩn đoán'!N36,"","M1-1, ")&amp;IF(C69='Chẩn đoán'!N37,"","M1-2, ")&amp;IF(D69='Chẩn đoán'!N38,"","M2-1, ")&amp;IF(E69='Chẩn đoán'!N39,"","M2-2, "),"")</x:f>
      </x:c>
      <x:c r="Y176" s="56" t="n">
        <x:v>4</x:v>
      </x:c>
    </x:row>
    <x:row r="177" ht="28" customHeight="1">
      <x:c r="A177" s="56"/>
      <x:c r="B177" s="56"/>
      <x:c r="C177" s="56"/>
      <x:c r="D177" s="56"/>
      <x:c r="E177" s="56"/>
      <x:c r="F177" s="56"/>
      <x:c r="G177" s="56"/>
      <x:c r="H177" s="56"/>
      <x:c r="I177" s="56" t="str">
        <x:v>N4-L2</x:v>
      </x:c>
      <x:c r="J177" s="56" t="str">
        <x:f>IF(AND(U177&gt;0,V177&gt;0),"Trùng hai chế độ",IF(U177&gt;0,"Chi tiết",IF(V177&gt;0,"Nhanh","")))</x:f>
      </x:c>
      <x:c r="K177" s="56" t="n">
        <x:v>4</x:v>
      </x:c>
      <x:c r="L177" s="56" t="str">
        <x:f>IF(P177="Đã chấm",IF(J177="Chi tiết",'Chẩn đoán'!F83,T177),"")</x:f>
      </x:c>
      <x:c r="M177" s="56" t="str">
        <x:f>IF(P177="Đã chấm",IF(J177="Chi tiết",'Chẩn đoán'!H83,B86),"")</x:f>
      </x:c>
      <x:c r="N177" s="56" t="str">
        <x:f>IF(P177="Đã chấm",IF(J177="Chi tiết",'Chẩn đoán'!I83,D86),"")</x:f>
      </x:c>
      <x:c r="O177" s="56" t="str">
        <x:f>IF(P177="Đã chấm",IF(J177="Chi tiết",'Chẩn đoán'!J83,F86),"")</x:f>
      </x:c>
      <x:c r="P177" s="56" t="str">
        <x:f>IF(J177="Trùng hai chế độ",J177,IF(J177="Chi tiết",'Chẩn đoán'!K83,W177))</x:f>
        <x:v>Chưa làm</x:v>
      </x:c>
      <x:c r="Q177" s="56" t="str">
        <x:f>IF(AND(P177="Đã chấm",J177="Nhanh",LEN(B91)&gt;0),B91,"")</x:f>
      </x:c>
      <x:c r="R177" s="56" t="n">
        <x:f>SUM(IF(ISBLANK(B83),0,1),IF(ISBLANK(C83),0,1),IF(ISBLANK(D83),0,1),IF(ISBLANK(E83),0,1))</x:f>
        <x:v>0</x:v>
      </x:c>
      <x:c r="S177" s="56" t="n">
        <x:f>COUNTIF(I48:I51,-1)</x:f>
        <x:v>0</x:v>
      </x:c>
      <x:c r="T177" s="56" t="n">
        <x:f>SUM(J48:J51)</x:f>
        <x:v>0</x:v>
      </x:c>
      <x:c r="U177" s="56" t="n">
        <x:f>COUNTA('Chẩn đoán'!F40:H43,'Chẩn đoán'!H83:J83)</x:f>
        <x:v>0</x:v>
      </x:c>
      <x:c r="V177" s="56" t="n">
        <x:f>COUNTA(B83,C83,D83,E83,B86,D86,F86,B87,B91)</x:f>
        <x:v>0</x:v>
      </x:c>
      <x:c r="W177" s="56" t="str">
        <x:f>IF(V177=0,"Chưa làm",IF(S177&gt;0,"Sửa đáp án",IF(R177&lt;K177,"Còn "&amp;(K177-R177)&amp;" câu",IF(B87&lt;&gt;"Xong","Chọn Xong để chấm",IF(NOT(IF(ISNUMBER(B86),AND(B86&gt;=1,B86&lt;=2958465,MOD(B86,1)=0),FALSE)),"Thiếu/sai ngày",IF(NOT(IF(ISNUMBER(D86),AND(D86&gt;0,D86&lt;=180),FALSE)),"Thiếu/sai phút",IF(AND(F86&lt;&gt;"Mới",F86&lt;&gt;"Ôn lại"),"Chọn Mới/Ôn lại",IF(AND(LEN(B91)&gt;0,COUNTIF('Nhật ký'!$I$63:$I$69,B91)=0),"Sửa mã lỗi","Đã chấm"))))))))</x:f>
        <x:v>Chưa làm</x:v>
      </x:c>
      <x:c r="X177" s="56" t="str">
        <x:f>IF(AND(B87="Xong",R177=K177,S177=0),IF(B83='Chẩn đoán'!N40,"","M3-1, ")&amp;IF(C83='Chẩn đoán'!N41,"","M3-2, ")&amp;IF(D83='Chẩn đoán'!N42,"","M4-1, ")&amp;IF(E83='Chẩn đoán'!N43,"","M4-2, "),"")</x:f>
      </x:c>
      <x:c r="Y177" s="56" t="n">
        <x:v>4</x:v>
      </x:c>
    </x:row>
    <x:row r="178" ht="28" customHeight="1">
      <x:c r="A178" s="56"/>
      <x:c r="B178" s="56"/>
      <x:c r="C178" s="56"/>
      <x:c r="D178" s="56"/>
      <x:c r="E178" s="56"/>
      <x:c r="F178" s="56"/>
      <x:c r="G178" s="56"/>
      <x:c r="H178" s="56"/>
      <x:c r="I178" s="56" t="str">
        <x:v>N3-G</x:v>
      </x:c>
      <x:c r="J178" s="56" t="str">
        <x:f>IF(AND(U178&gt;0,V178&gt;0),"Trùng hai chế độ",IF(U178&gt;0,"Chi tiết",IF(V178&gt;0,"Nhanh","")))</x:f>
      </x:c>
      <x:c r="K178" s="56" t="n">
        <x:v>6</x:v>
      </x:c>
      <x:c r="L178" s="56" t="str">
        <x:f>IF(P178="Đã chấm",IF(J178="Chi tiết",'Chẩn đoán'!F84,T178),"")</x:f>
      </x:c>
      <x:c r="M178" s="56" t="str">
        <x:f>IF(P178="Đã chấm",IF(J178="Chi tiết",'Chẩn đoán'!H84,B100),"")</x:f>
      </x:c>
      <x:c r="N178" s="56" t="str">
        <x:f>IF(P178="Đã chấm",IF(J178="Chi tiết",'Chẩn đoán'!I84,D100),"")</x:f>
      </x:c>
      <x:c r="O178" s="56" t="str">
        <x:f>IF(P178="Đã chấm",IF(J178="Chi tiết",'Chẩn đoán'!J84,F100),"")</x:f>
      </x:c>
      <x:c r="P178" s="56" t="str">
        <x:f>IF(J178="Trùng hai chế độ",J178,IF(J178="Chi tiết",'Chẩn đoán'!K84,W178))</x:f>
        <x:v>Chưa làm</x:v>
      </x:c>
      <x:c r="Q178" s="56" t="str">
        <x:f>IF(AND(P178="Đã chấm",J178="Nhanh",LEN(B105)&gt;0),B105,"")</x:f>
      </x:c>
      <x:c r="R178" s="56" t="n">
        <x:f>SUM(IF(ISBLANK(B97),0,1),IF(ISBLANK(C97),0,1),IF(ISBLANK(D97),0,1),IF(ISBLANK(E97),0,1),IF(ISBLANK(F97),0,1),IF(ISBLANK(G97),0,1))</x:f>
        <x:v>0</x:v>
      </x:c>
      <x:c r="S178" s="56" t="n">
        <x:f>COUNTIF(I52:I57,-1)</x:f>
        <x:v>0</x:v>
      </x:c>
      <x:c r="T178" s="56" t="n">
        <x:f>SUM(J52:J57)</x:f>
        <x:v>0</x:v>
      </x:c>
      <x:c r="U178" s="56" t="n">
        <x:f>COUNTA('Chẩn đoán'!F44:H49,'Chẩn đoán'!H84:J84)</x:f>
        <x:v>0</x:v>
      </x:c>
      <x:c r="V178" s="56" t="n">
        <x:f>COUNTA(B97,C97,D97,E97,F97,G97,B100,D100,F100,B101,B105)</x:f>
        <x:v>0</x:v>
      </x:c>
      <x:c r="W178" s="56" t="str">
        <x:f>IF(V178=0,"Chưa làm",IF(S178&gt;0,"Sửa đáp án",IF(R178&lt;K178,"Còn "&amp;(K178-R178)&amp;" câu",IF(B101&lt;&gt;"Xong","Chọn Xong để chấm",IF(NOT(IF(ISNUMBER(B100),AND(B100&gt;=1,B100&lt;=2958465,MOD(B100,1)=0),FALSE)),"Thiếu/sai ngày",IF(NOT(IF(ISNUMBER(D100),AND(D100&gt;0,D100&lt;=180),FALSE)),"Thiếu/sai phút",IF(AND(F100&lt;&gt;"Mới",F100&lt;&gt;"Ôn lại"),"Chọn Mới/Ôn lại",IF(AND(LEN(B105)&gt;0,COUNTIF('Nhật ký'!$I$63:$I$69,B105)=0),"Sửa mã lỗi","Đã chấm"))))))))</x:f>
        <x:v>Chưa làm</x:v>
      </x:c>
      <x:c r="X178" s="56" t="str">
        <x:f>IF(AND(B101="Xong",R178=K178,S178=0),IF(B97='Chẩn đoán'!N44,"","1, ")&amp;IF(C97='Chẩn đoán'!N45,"","2, ")&amp;IF(D97='Chẩn đoán'!N46,"","3, ")&amp;IF(E97='Chẩn đoán'!N47,"","4, ")&amp;IF(F97='Chẩn đoán'!N48,"","14, ")&amp;IF(G97='Chẩn đoán'!N49,"","15, "),"")</x:f>
      </x:c>
      <x:c r="Y178" s="56" t="n">
        <x:v>6</x:v>
      </x:c>
    </x:row>
    <x:row r="179" ht="28" customHeight="1">
      <x:c r="A179" s="56"/>
      <x:c r="B179" s="56"/>
      <x:c r="C179" s="56"/>
      <x:c r="D179" s="56"/>
      <x:c r="E179" s="56"/>
      <x:c r="F179" s="56"/>
      <x:c r="G179" s="56"/>
      <x:c r="H179" s="56"/>
      <x:c r="I179" s="56" t="str">
        <x:v>N3-V</x:v>
      </x:c>
      <x:c r="J179" s="56" t="str">
        <x:f>IF(AND(U179&gt;0,V179&gt;0),"Trùng hai chế độ",IF(U179&gt;0,"Chi tiết",IF(V179&gt;0,"Nhanh","")))</x:f>
      </x:c>
      <x:c r="K179" s="56" t="n">
        <x:v>10</x:v>
      </x:c>
      <x:c r="L179" s="56" t="str">
        <x:f>IF(P179="Đã chấm",IF(J179="Chi tiết",'Chẩn đoán'!F85,T179),"")</x:f>
      </x:c>
      <x:c r="M179" s="56" t="str">
        <x:f>IF(P179="Đã chấm",IF(J179="Chi tiết",'Chẩn đoán'!H85,B114),"")</x:f>
      </x:c>
      <x:c r="N179" s="56" t="str">
        <x:f>IF(P179="Đã chấm",IF(J179="Chi tiết",'Chẩn đoán'!I85,D114),"")</x:f>
      </x:c>
      <x:c r="O179" s="56" t="str">
        <x:f>IF(P179="Đã chấm",IF(J179="Chi tiết",'Chẩn đoán'!J85,F114),"")</x:f>
      </x:c>
      <x:c r="P179" s="56" t="str">
        <x:f>IF(J179="Trùng hai chế độ",J179,IF(J179="Chi tiết",'Chẩn đoán'!K85,W179))</x:f>
        <x:v>Chưa làm</x:v>
      </x:c>
      <x:c r="Q179" s="56" t="str">
        <x:f>IF(AND(P179="Đã chấm",J179="Nhanh",LEN(B119)&gt;0),B119,"")</x:f>
      </x:c>
      <x:c r="R179" s="56" t="n">
        <x:f>SUM(IF(ISBLANK(B111),0,1),IF(ISBLANK(C111),0,1),IF(ISBLANK(D111),0,1),IF(ISBLANK(E111),0,1),IF(ISBLANK(F111),0,1),IF(ISBLANK(G111),0,1),IF(ISBLANK(B113),0,1),IF(ISBLANK(C113),0,1),IF(ISBLANK(D113),0,1),IF(ISBLANK(E113),0,1))</x:f>
        <x:v>0</x:v>
      </x:c>
      <x:c r="S179" s="56" t="n">
        <x:f>COUNTIF(I58:I67,-1)</x:f>
        <x:v>0</x:v>
      </x:c>
      <x:c r="T179" s="56" t="n">
        <x:f>SUM(J58:J67)</x:f>
        <x:v>0</x:v>
      </x:c>
      <x:c r="U179" s="56" t="n">
        <x:f>COUNTA('Chẩn đoán'!F50:H59,'Chẩn đoán'!H85:J85)</x:f>
        <x:v>0</x:v>
      </x:c>
      <x:c r="V179" s="56" t="n">
        <x:f>COUNTA(B111,C111,D111,E111,F111,G111,B113,C113,D113,E113,B114,D114,F114,B115,B119)</x:f>
        <x:v>0</x:v>
      </x:c>
      <x:c r="W179" s="56" t="str">
        <x:f>IF(V179=0,"Chưa làm",IF(S179&gt;0,"Sửa đáp án",IF(R179&lt;K179,"Còn "&amp;(K179-R179)&amp;" câu",IF(B115&lt;&gt;"Xong","Chọn Xong để chấm",IF(NOT(IF(ISNUMBER(B114),AND(B114&gt;=1,B114&lt;=2958465,MOD(B114,1)=0),FALSE)),"Thiếu/sai ngày",IF(NOT(IF(ISNUMBER(D114),AND(D114&gt;0,D114&lt;=180),FALSE)),"Thiếu/sai phút",IF(AND(F114&lt;&gt;"Mới",F114&lt;&gt;"Ôn lại"),"Chọn Mới/Ôn lại",IF(AND(LEN(B119)&gt;0,COUNTIF('Nhật ký'!$I$63:$I$69,B119)=0),"Sửa mã lỗi","Đã chấm"))))))))</x:f>
        <x:v>Chưa làm</x:v>
      </x:c>
      <x:c r="X179" s="56" t="str">
        <x:f>IF(AND(B115="Xong",R179=K179,S179=0),IF(B111='Chẩn đoán'!N50,"","1, ")&amp;IF(C111='Chẩn đoán'!N51,"","2, ")&amp;IF(D111='Chẩn đoán'!N52,"","9, ")&amp;IF(E111='Chẩn đoán'!N53,"","10, ")&amp;IF(F111='Chẩn đoán'!N54,"","15, ")&amp;IF(G111='Chẩn đoán'!N55,"","16, ")&amp;IF(B113='Chẩn đoán'!N56,"","26, ")&amp;IF(C113='Chẩn đoán'!N57,"","27, ")&amp;IF(D113='Chẩn đoán'!N58,"","31, ")&amp;IF(E113='Chẩn đoán'!N59,"","32, "),"")</x:f>
      </x:c>
      <x:c r="Y179" s="56" t="n">
        <x:v>10</x:v>
      </x:c>
    </x:row>
    <x:row r="180" ht="28" customHeight="1">
      <x:c r="A180" s="56"/>
      <x:c r="B180" s="56"/>
      <x:c r="C180" s="56"/>
      <x:c r="D180" s="56"/>
      <x:c r="E180" s="56"/>
      <x:c r="F180" s="56"/>
      <x:c r="G180" s="56"/>
      <x:c r="H180" s="56"/>
      <x:c r="I180" s="56" t="str">
        <x:v>N3-R</x:v>
      </x:c>
      <x:c r="J180" s="56" t="str">
        <x:f>IF(AND(U180&gt;0,V180&gt;0),"Trùng hai chế độ",IF(U180&gt;0,"Chi tiết",IF(V180&gt;0,"Nhanh","")))</x:f>
      </x:c>
      <x:c r="K180" s="56" t="n">
        <x:v>4</x:v>
      </x:c>
      <x:c r="L180" s="56" t="str">
        <x:f>IF(P180="Đã chấm",IF(J180="Chi tiết",'Chẩn đoán'!F86,T180),"")</x:f>
      </x:c>
      <x:c r="M180" s="56" t="str">
        <x:f>IF(P180="Đã chấm",IF(J180="Chi tiết",'Chẩn đoán'!H86,B128),"")</x:f>
      </x:c>
      <x:c r="N180" s="56" t="str">
        <x:f>IF(P180="Đã chấm",IF(J180="Chi tiết",'Chẩn đoán'!I86,D128),"")</x:f>
      </x:c>
      <x:c r="O180" s="56" t="str">
        <x:f>IF(P180="Đã chấm",IF(J180="Chi tiết",'Chẩn đoán'!J86,F128),"")</x:f>
      </x:c>
      <x:c r="P180" s="56" t="str">
        <x:f>IF(J180="Trùng hai chế độ",J180,IF(J180="Chi tiết",'Chẩn đoán'!K86,W180))</x:f>
        <x:v>Chưa làm</x:v>
      </x:c>
      <x:c r="Q180" s="56" t="str">
        <x:f>IF(AND(P180="Đã chấm",J180="Nhanh",LEN(B133)&gt;0),B133,"")</x:f>
      </x:c>
      <x:c r="R180" s="56" t="n">
        <x:f>SUM(IF(ISBLANK(B125),0,1),IF(ISBLANK(C125),0,1),IF(ISBLANK(D125),0,1),IF(ISBLANK(E125),0,1))</x:f>
        <x:v>0</x:v>
      </x:c>
      <x:c r="S180" s="56" t="n">
        <x:f>COUNTIF(I68:I71,-1)</x:f>
        <x:v>0</x:v>
      </x:c>
      <x:c r="T180" s="56" t="n">
        <x:f>SUM(J68:J71)</x:f>
        <x:v>0</x:v>
      </x:c>
      <x:c r="U180" s="56" t="n">
        <x:f>COUNTA('Chẩn đoán'!F60:H63,'Chẩn đoán'!H86:J86)</x:f>
        <x:v>0</x:v>
      </x:c>
      <x:c r="V180" s="56" t="n">
        <x:f>COUNTA(B125,C125,D125,E125,B128,D128,F128,B129,B133)</x:f>
        <x:v>0</x:v>
      </x:c>
      <x:c r="W180" s="56" t="str">
        <x:f>IF(V180=0,"Chưa làm",IF(S180&gt;0,"Sửa đáp án",IF(R180&lt;K180,"Còn "&amp;(K180-R180)&amp;" câu",IF(B129&lt;&gt;"Xong","Chọn Xong để chấm",IF(NOT(IF(ISNUMBER(B128),AND(B128&gt;=1,B128&lt;=2958465,MOD(B128,1)=0),FALSE)),"Thiếu/sai ngày",IF(NOT(IF(ISNUMBER(D128),AND(D128&gt;0,D128&lt;=180),FALSE)),"Thiếu/sai phút",IF(AND(F128&lt;&gt;"Mới",F128&lt;&gt;"Ôn lại"),"Chọn Mới/Ôn lại",IF(AND(LEN(B133)&gt;0,COUNTIF('Nhật ký'!$I$63:$I$69,B133)=0),"Sửa mã lỗi","Đã chấm"))))))))</x:f>
        <x:v>Chưa làm</x:v>
      </x:c>
      <x:c r="X180" s="56" t="str">
        <x:f>IF(AND(B129="Xong",R180=K180,S180=0),IF(B125='Chẩn đoán'!N60,"","24, ")&amp;IF(C125='Chẩn đoán'!N61,"","28, ")&amp;IF(D125='Chẩn đoán'!N62,"","29, ")&amp;IF(E125='Chẩn đoán'!N63,"","30, "),"")</x:f>
      </x:c>
      <x:c r="Y180" s="56" t="n">
        <x:v>4</x:v>
      </x:c>
    </x:row>
    <x:row r="181" ht="28" customHeight="1">
      <x:c r="A181" s="56"/>
      <x:c r="B181" s="56"/>
      <x:c r="C181" s="56"/>
      <x:c r="D181" s="56"/>
      <x:c r="E181" s="56"/>
      <x:c r="F181" s="56"/>
      <x:c r="G181" s="56"/>
      <x:c r="H181" s="56"/>
      <x:c r="I181" s="56" t="str">
        <x:v>N3-L1</x:v>
      </x:c>
      <x:c r="J181" s="56" t="str">
        <x:f>IF(AND(U181&gt;0,V181&gt;0),"Trùng hai chế độ",IF(U181&gt;0,"Chi tiết",IF(V181&gt;0,"Nhanh","")))</x:f>
      </x:c>
      <x:c r="K181" s="56" t="n">
        <x:v>4</x:v>
      </x:c>
      <x:c r="L181" s="56" t="str">
        <x:f>IF(P181="Đã chấm",IF(J181="Chi tiết",'Chẩn đoán'!F87,T181),"")</x:f>
      </x:c>
      <x:c r="M181" s="56" t="str">
        <x:f>IF(P181="Đã chấm",IF(J181="Chi tiết",'Chẩn đoán'!H87,B142),"")</x:f>
      </x:c>
      <x:c r="N181" s="56" t="str">
        <x:f>IF(P181="Đã chấm",IF(J181="Chi tiết",'Chẩn đoán'!I87,D142),"")</x:f>
      </x:c>
      <x:c r="O181" s="56" t="str">
        <x:f>IF(P181="Đã chấm",IF(J181="Chi tiết",'Chẩn đoán'!J87,F142),"")</x:f>
      </x:c>
      <x:c r="P181" s="56" t="str">
        <x:f>IF(J181="Trùng hai chế độ",J181,IF(J181="Chi tiết",'Chẩn đoán'!K87,W181))</x:f>
        <x:v>Chưa làm</x:v>
      </x:c>
      <x:c r="Q181" s="56" t="str">
        <x:f>IF(AND(P181="Đã chấm",J181="Nhanh",LEN(B147)&gt;0),B147,"")</x:f>
      </x:c>
      <x:c r="R181" s="56" t="n">
        <x:f>SUM(IF(ISBLANK(B139),0,1),IF(ISBLANK(C139),0,1),IF(ISBLANK(D139),0,1),IF(ISBLANK(E139),0,1))</x:f>
        <x:v>0</x:v>
      </x:c>
      <x:c r="S181" s="56" t="n">
        <x:f>COUNTIF(I72:I75,-1)</x:f>
        <x:v>0</x:v>
      </x:c>
      <x:c r="T181" s="56" t="n">
        <x:f>SUM(J72:J75)</x:f>
        <x:v>0</x:v>
      </x:c>
      <x:c r="U181" s="56" t="n">
        <x:f>COUNTA('Chẩn đoán'!F64:H67,'Chẩn đoán'!H87:J87)</x:f>
        <x:v>0</x:v>
      </x:c>
      <x:c r="V181" s="56" t="n">
        <x:f>COUNTA(B139,C139,D139,E139,B142,D142,F142,B143,B147)</x:f>
        <x:v>0</x:v>
      </x:c>
      <x:c r="W181" s="56" t="str">
        <x:f>IF(V181=0,"Chưa làm",IF(S181&gt;0,"Sửa đáp án",IF(R181&lt;K181,"Còn "&amp;(K181-R181)&amp;" câu",IF(B143&lt;&gt;"Xong","Chọn Xong để chấm",IF(NOT(IF(ISNUMBER(B142),AND(B142&gt;=1,B142&lt;=2958465,MOD(B142,1)=0),FALSE)),"Thiếu/sai ngày",IF(NOT(IF(ISNUMBER(D142),AND(D142&gt;0,D142&lt;=180),FALSE)),"Thiếu/sai phút",IF(AND(F142&lt;&gt;"Mới",F142&lt;&gt;"Ôn lại"),"Chọn Mới/Ôn lại",IF(AND(LEN(B147)&gt;0,COUNTIF('Nhật ký'!$I$63:$I$69,B147)=0),"Sửa mã lỗi","Đã chấm"))))))))</x:f>
        <x:v>Chưa làm</x:v>
      </x:c>
      <x:c r="X181" s="56" t="str">
        <x:f>IF(AND(B143="Xong",R181=K181,S181=0),IF(B139='Chẩn đoán'!N64,"","M1-1, ")&amp;IF(C139='Chẩn đoán'!N65,"","M1-2, ")&amp;IF(D139='Chẩn đoán'!N66,"","M2-1, ")&amp;IF(E139='Chẩn đoán'!N67,"","M2-2, "),"")</x:f>
      </x:c>
      <x:c r="Y181" s="56" t="n">
        <x:v>4</x:v>
      </x:c>
    </x:row>
    <x:row r="182" ht="28" customHeight="1">
      <x:c r="A182" s="56"/>
      <x:c r="B182" s="56"/>
      <x:c r="C182" s="56"/>
      <x:c r="D182" s="56"/>
      <x:c r="E182" s="56"/>
      <x:c r="F182" s="56"/>
      <x:c r="G182" s="56"/>
      <x:c r="H182" s="56"/>
      <x:c r="I182" s="56" t="str">
        <x:v>N3-L2</x:v>
      </x:c>
      <x:c r="J182" s="56" t="str">
        <x:f>IF(AND(U182&gt;0,V182&gt;0),"Trùng hai chế độ",IF(U182&gt;0,"Chi tiết",IF(V182&gt;0,"Nhanh","")))</x:f>
      </x:c>
      <x:c r="K182" s="56" t="n">
        <x:v>6</x:v>
      </x:c>
      <x:c r="L182" s="56" t="str">
        <x:f>IF(P182="Đã chấm",IF(J182="Chi tiết",'Chẩn đoán'!F88,T182),"")</x:f>
      </x:c>
      <x:c r="M182" s="56" t="str">
        <x:f>IF(P182="Đã chấm",IF(J182="Chi tiết",'Chẩn đoán'!H88,B156),"")</x:f>
      </x:c>
      <x:c r="N182" s="56" t="str">
        <x:f>IF(P182="Đã chấm",IF(J182="Chi tiết",'Chẩn đoán'!I88,D156),"")</x:f>
      </x:c>
      <x:c r="O182" s="56" t="str">
        <x:f>IF(P182="Đã chấm",IF(J182="Chi tiết",'Chẩn đoán'!J88,F156),"")</x:f>
      </x:c>
      <x:c r="P182" s="56" t="str">
        <x:f>IF(J182="Trùng hai chế độ",J182,IF(J182="Chi tiết",'Chẩn đoán'!K88,W182))</x:f>
        <x:v>Chưa làm</x:v>
      </x:c>
      <x:c r="Q182" s="56" t="str">
        <x:f>IF(AND(P182="Đã chấm",J182="Nhanh",LEN(B161)&gt;0),B161,"")</x:f>
      </x:c>
      <x:c r="R182" s="56" t="n">
        <x:f>SUM(IF(ISBLANK(B153),0,1),IF(ISBLANK(C153),0,1),IF(ISBLANK(D153),0,1),IF(ISBLANK(E153),0,1),IF(ISBLANK(F153),0,1),IF(ISBLANK(G153),0,1))</x:f>
        <x:v>0</x:v>
      </x:c>
      <x:c r="S182" s="56" t="n">
        <x:f>COUNTIF(I76:I81,-1)</x:f>
        <x:v>0</x:v>
      </x:c>
      <x:c r="T182" s="56" t="n">
        <x:f>SUM(J76:J81)</x:f>
        <x:v>0</x:v>
      </x:c>
      <x:c r="U182" s="56" t="n">
        <x:f>COUNTA('Chẩn đoán'!F68:H73,'Chẩn đoán'!H88:J88)</x:f>
        <x:v>0</x:v>
      </x:c>
      <x:c r="V182" s="56" t="n">
        <x:f>COUNTA(B153,C153,D153,E153,F153,G153,B156,D156,F156,B157,B161)</x:f>
        <x:v>0</x:v>
      </x:c>
      <x:c r="W182" s="56" t="str">
        <x:f>IF(V182=0,"Chưa làm",IF(S182&gt;0,"Sửa đáp án",IF(R182&lt;K182,"Còn "&amp;(K182-R182)&amp;" câu",IF(B157&lt;&gt;"Xong","Chọn Xong để chấm",IF(NOT(IF(ISNUMBER(B156),AND(B156&gt;=1,B156&lt;=2958465,MOD(B156,1)=0),FALSE)),"Thiếu/sai ngày",IF(NOT(IF(ISNUMBER(D156),AND(D156&gt;0,D156&lt;=180),FALSE)),"Thiếu/sai phút",IF(AND(F156&lt;&gt;"Mới",F156&lt;&gt;"Ôn lại"),"Chọn Mới/Ôn lại",IF(AND(LEN(B161)&gt;0,COUNTIF('Nhật ký'!$I$63:$I$69,B161)=0),"Sửa mã lỗi","Đã chấm"))))))))</x:f>
        <x:v>Chưa làm</x:v>
      </x:c>
      <x:c r="X182" s="56" t="str">
        <x:f>IF(AND(B157="Xong",R182=K182,S182=0),IF(B153='Chẩn đoán'!N68,"","M3-1, ")&amp;IF(C153='Chẩn đoán'!N69,"","M3-2, ")&amp;IF(D153='Chẩn đoán'!N70,"","M4-1, ")&amp;IF(E153='Chẩn đoán'!N71,"","M4-2, ")&amp;IF(F153='Chẩn đoán'!N72,"","M5-1, ")&amp;IF(G153='Chẩn đoán'!N73,"","M5-2, "),"")</x:f>
      </x:c>
      <x:c r="Y182" s="56" t="n">
        <x:v>6</x:v>
      </x:c>
    </x:row>
    <x:row r="183" ht="28" customHeight="1">
      <x:c r="A183" s="56"/>
      <x:c r="B183" s="56"/>
      <x:c r="C183" s="56"/>
      <x:c r="D183" s="56"/>
      <x:c r="E183" s="56"/>
      <x:c r="F183" s="56"/>
      <x:c r="G183" s="56"/>
      <x:c r="H183" s="56"/>
      <x:c r="I183" s="56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</x:row>
    <x:row r="184" ht="28" customHeight="1">
      <x:c r="A184" s="56"/>
      <x:c r="B184" s="56"/>
      <x:c r="C184" s="56"/>
      <x:c r="D184" s="56"/>
      <x:c r="E184" s="56"/>
      <x:c r="F184" s="56"/>
      <x:c r="G184" s="56"/>
      <x:c r="H184" s="56"/>
      <x:c r="I184" s="56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</x:row>
    <x:row r="185" ht="28" customHeight="1">
      <x:c r="A185" s="56"/>
      <x:c r="B185" s="56"/>
      <x:c r="C185" s="56"/>
      <x:c r="D185" s="56"/>
      <x:c r="E185" s="56"/>
      <x:c r="F185" s="56"/>
      <x:c r="G185" s="56"/>
      <x:c r="H185" s="56"/>
      <x:c r="I185" s="56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</x:row>
  </x:sheetData>
  <x:mergeCells>
    <x:mergeCell ref="B18:G18"/>
    <x:mergeCell ref="B19:G19"/>
    <x:mergeCell ref="B20:G20"/>
    <x:mergeCell ref="B22:G22"/>
    <x:mergeCell ref="A10:G10"/>
    <x:mergeCell ref="E11:G11"/>
    <x:mergeCell ref="D17:G17"/>
    <x:mergeCell ref="B32:G32"/>
    <x:mergeCell ref="B33:G33"/>
    <x:mergeCell ref="B34:G34"/>
    <x:mergeCell ref="B36:G36"/>
    <x:mergeCell ref="A24:G24"/>
    <x:mergeCell ref="E25:G25"/>
    <x:mergeCell ref="D31:G31"/>
    <x:mergeCell ref="B46:G46"/>
    <x:mergeCell ref="B47:G47"/>
    <x:mergeCell ref="B48:G48"/>
    <x:mergeCell ref="B50:G50"/>
    <x:mergeCell ref="A38:G38"/>
    <x:mergeCell ref="E39:G39"/>
    <x:mergeCell ref="D45:G45"/>
    <x:mergeCell ref="B60:G60"/>
    <x:mergeCell ref="B61:G61"/>
    <x:mergeCell ref="B62:G62"/>
    <x:mergeCell ref="B64:G64"/>
    <x:mergeCell ref="A52:G52"/>
    <x:mergeCell ref="E53:G53"/>
    <x:mergeCell ref="D59:G59"/>
    <x:mergeCell ref="B74:G74"/>
    <x:mergeCell ref="B75:G75"/>
    <x:mergeCell ref="B76:G76"/>
    <x:mergeCell ref="B78:G78"/>
    <x:mergeCell ref="A66:G66"/>
    <x:mergeCell ref="E67:G67"/>
    <x:mergeCell ref="D73:G73"/>
    <x:mergeCell ref="B88:G88"/>
    <x:mergeCell ref="B89:G89"/>
    <x:mergeCell ref="B90:G90"/>
    <x:mergeCell ref="B92:G92"/>
    <x:mergeCell ref="A80:G80"/>
    <x:mergeCell ref="E81:G81"/>
    <x:mergeCell ref="D87:G87"/>
    <x:mergeCell ref="B102:G102"/>
    <x:mergeCell ref="B103:G103"/>
    <x:mergeCell ref="B104:G104"/>
    <x:mergeCell ref="B106:G106"/>
    <x:mergeCell ref="A94:G94"/>
    <x:mergeCell ref="E95:G95"/>
    <x:mergeCell ref="D101:G101"/>
    <x:mergeCell ref="B116:G116"/>
    <x:mergeCell ref="B117:G117"/>
    <x:mergeCell ref="B118:G118"/>
    <x:mergeCell ref="B120:G120"/>
    <x:mergeCell ref="A108:G108"/>
    <x:mergeCell ref="E109:G109"/>
    <x:mergeCell ref="D115:G115"/>
    <x:mergeCell ref="B130:G130"/>
    <x:mergeCell ref="B131:G131"/>
    <x:mergeCell ref="B132:G132"/>
    <x:mergeCell ref="B134:G134"/>
    <x:mergeCell ref="A122:G122"/>
    <x:mergeCell ref="E123:G123"/>
    <x:mergeCell ref="D129:G129"/>
    <x:mergeCell ref="B144:G144"/>
    <x:mergeCell ref="B145:G145"/>
    <x:mergeCell ref="B146:G146"/>
    <x:mergeCell ref="B148:G148"/>
    <x:mergeCell ref="A136:G136"/>
    <x:mergeCell ref="E137:G137"/>
    <x:mergeCell ref="D143:G143"/>
    <x:mergeCell ref="B158:G158"/>
    <x:mergeCell ref="B159:G159"/>
    <x:mergeCell ref="B160:G160"/>
    <x:mergeCell ref="B162:G162"/>
    <x:mergeCell ref="A150:G150"/>
    <x:mergeCell ref="E151:G151"/>
    <x:mergeCell ref="D157:G157"/>
    <x:mergeCell ref="A4:G4"/>
    <x:mergeCell ref="A5:G5"/>
    <x:mergeCell ref="A6:G6"/>
  </x:mergeCells>
  <x:conditionalFormatting sqref="B18:B18">
    <x:cfRule type="expression" dxfId="12" priority="1">
      <x:formula>AND(B18&lt;&gt;"Đã chấm",B18&lt;&gt;"Chưa làm")</x:formula>
    </x:cfRule>
  </x:conditionalFormatting>
  <x:conditionalFormatting sqref="B32:B32">
    <x:cfRule type="expression" dxfId="13" priority="2">
      <x:formula>AND(B32&lt;&gt;"Đã chấm",B32&lt;&gt;"Chưa làm")</x:formula>
    </x:cfRule>
  </x:conditionalFormatting>
  <x:conditionalFormatting sqref="B46:B46">
    <x:cfRule type="expression" dxfId="14" priority="3">
      <x:formula>AND(B46&lt;&gt;"Đã chấm",B46&lt;&gt;"Chưa làm")</x:formula>
    </x:cfRule>
  </x:conditionalFormatting>
  <x:conditionalFormatting sqref="B60:B60">
    <x:cfRule type="expression" dxfId="15" priority="4">
      <x:formula>AND(B60&lt;&gt;"Đã chấm",B60&lt;&gt;"Chưa làm")</x:formula>
    </x:cfRule>
  </x:conditionalFormatting>
  <x:conditionalFormatting sqref="B74:B74">
    <x:cfRule type="expression" dxfId="16" priority="5">
      <x:formula>AND(B74&lt;&gt;"Đã chấm",B74&lt;&gt;"Chưa làm")</x:formula>
    </x:cfRule>
  </x:conditionalFormatting>
  <x:conditionalFormatting sqref="B88:B88">
    <x:cfRule type="expression" dxfId="17" priority="6">
      <x:formula>AND(B88&lt;&gt;"Đã chấm",B88&lt;&gt;"Chưa làm")</x:formula>
    </x:cfRule>
  </x:conditionalFormatting>
  <x:conditionalFormatting sqref="B102:B102">
    <x:cfRule type="expression" dxfId="18" priority="7">
      <x:formula>AND(B102&lt;&gt;"Đã chấm",B102&lt;&gt;"Chưa làm")</x:formula>
    </x:cfRule>
  </x:conditionalFormatting>
  <x:conditionalFormatting sqref="B116:B116">
    <x:cfRule type="expression" dxfId="19" priority="8">
      <x:formula>AND(B116&lt;&gt;"Đã chấm",B116&lt;&gt;"Chưa làm")</x:formula>
    </x:cfRule>
  </x:conditionalFormatting>
  <x:conditionalFormatting sqref="B130:B130">
    <x:cfRule type="expression" dxfId="20" priority="9">
      <x:formula>AND(B130&lt;&gt;"Đã chấm",B130&lt;&gt;"Chưa làm")</x:formula>
    </x:cfRule>
  </x:conditionalFormatting>
  <x:conditionalFormatting sqref="B144:B144">
    <x:cfRule type="expression" dxfId="21" priority="10">
      <x:formula>AND(B144&lt;&gt;"Đã chấm",B144&lt;&gt;"Chưa làm")</x:formula>
    </x:cfRule>
  </x:conditionalFormatting>
  <x:conditionalFormatting sqref="B158:B158">
    <x:cfRule type="expression" dxfId="22" priority="11">
      <x:formula>AND(B158&lt;&gt;"Đã chấm",B158&lt;&gt;"Chưa làm")</x:formula>
    </x:cfRule>
  </x:conditionalFormatting>
  <x:dataValidations count="121">
    <x:dataValidation type="whole" operator="between" sqref="B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7" allowBlank="1" showErrorMessage="1" errorStyle="stop" errorTitle="Giá trị chưa hợp lệ" error="Nhập đúng phạm vi; 0 là bỏ câu, trống là chưa làm.">
      <x:formula1>"Xong"</x:formula1>
    </x:dataValidation>
    <x:dataValidation type="list" sqref="B21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2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2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30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30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30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31" allowBlank="1" showErrorMessage="1" errorStyle="stop" errorTitle="Giá trị chưa hợp lệ" error="Nhập đúng phạm vi; 0 là bỏ câu, trống là chưa làm.">
      <x:formula1>"Xong"</x:formula1>
    </x:dataValidation>
    <x:dataValidation type="list" sqref="B35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4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4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44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44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44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45" allowBlank="1" showErrorMessage="1" errorStyle="stop" errorTitle="Giá trị chưa hợp lệ" error="Nhập đúng phạm vi; 0 là bỏ câu, trống là chưa làm.">
      <x:formula1>"Xong"</x:formula1>
    </x:dataValidation>
    <x:dataValidation type="list" sqref="B49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5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58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58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58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59" allowBlank="1" showErrorMessage="1" errorStyle="stop" errorTitle="Giá trị chưa hợp lệ" error="Nhập đúng phạm vi; 0 là bỏ câu, trống là chưa làm.">
      <x:formula1>"Xong"</x:formula1>
    </x:dataValidation>
    <x:dataValidation type="list" sqref="B63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6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72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72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72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73" allowBlank="1" showErrorMessage="1" errorStyle="stop" errorTitle="Giá trị chưa hợp lệ" error="Nhập đúng phạm vi; 0 là bỏ câu, trống là chưa làm.">
      <x:formula1>"Xong"</x:formula1>
    </x:dataValidation>
    <x:dataValidation type="list" sqref="B77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C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D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E8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B8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8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8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87" allowBlank="1" showErrorMessage="1" errorStyle="stop" errorTitle="Giá trị chưa hợp lệ" error="Nhập đúng phạm vi; 0 là bỏ câu, trống là chưa làm.">
      <x:formula1>"Xong"</x:formula1>
    </x:dataValidation>
    <x:dataValidation type="list" sqref="B91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97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00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00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00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01" allowBlank="1" showErrorMessage="1" errorStyle="stop" errorTitle="Giá trị chưa hợp lệ" error="Nhập đúng phạm vi; 0 là bỏ câu, trống là chưa làm.">
      <x:formula1>"Xong"</x:formula1>
    </x:dataValidation>
    <x:dataValidation type="list" sqref="B105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F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G111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1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14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14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14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15" allowBlank="1" showErrorMessage="1" errorStyle="stop" errorTitle="Giá trị chưa hợp lệ" error="Nhập đúng phạm vi; 0 là bỏ câu, trống là chưa làm.">
      <x:formula1>"Xong"</x:formula1>
    </x:dataValidation>
    <x:dataValidation type="list" sqref="B119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25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28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28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28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29" allowBlank="1" showErrorMessage="1" errorStyle="stop" errorTitle="Giá trị chưa hợp lệ" error="Nhập đúng phạm vi; 0 là bỏ câu, trống là chưa làm.">
      <x:formula1>"Xong"</x:formula1>
    </x:dataValidation>
    <x:dataValidation type="list" sqref="B133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E139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B142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42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42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43" allowBlank="1" showErrorMessage="1" errorStyle="stop" errorTitle="Giá trị chưa hợp lệ" error="Nhập đúng phạm vi; 0 là bỏ câu, trống là chưa làm.">
      <x:formula1>"Xong"</x:formula1>
    </x:dataValidation>
    <x:dataValidation type="list" sqref="B147" allowBlank="1" showErrorMessage="1" errorStyle="stop" errorTitle="Giá trị chưa hợp lệ" error="Nhập đúng phạm vi; 0 là bỏ câu, trống là chưa làm.">
      <x:formula1>"V,G,R,A,M,T,F"</x:formula1>
    </x:dataValidation>
    <x:dataValidation type="whole" operator="between" sqref="B15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C153" allowBlank="1" showErrorMessage="1" errorStyle="stop" errorTitle="Giá trị chưa hợp lệ" error="Nhập đúng phạm vi; 0 là bỏ câu, trống là chưa làm.">
      <x:formula1>0</x:formula1>
      <x:formula2>4</x:formula2>
    </x:dataValidation>
    <x:dataValidation type="whole" operator="between" sqref="D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E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F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G153" allowBlank="1" showErrorMessage="1" errorStyle="stop" errorTitle="Giá trị chưa hợp lệ" error="Nhập đúng phạm vi; 0 là bỏ câu, trống là chưa làm.">
      <x:formula1>0</x:formula1>
      <x:formula2>3</x:formula2>
    </x:dataValidation>
    <x:dataValidation type="whole" operator="between" sqref="B156" allowBlank="1" showErrorMessage="1" errorStyle="stop" errorTitle="Giá trị chưa hợp lệ" error="Nhập đúng phạm vi; 0 là bỏ câu, trống là chưa làm.">
      <x:formula1>1</x:formula1>
      <x:formula2>2958465</x:formula2>
    </x:dataValidation>
    <x:dataValidation type="decimal" operator="between" sqref="D156" allowBlank="1" showErrorMessage="1" errorStyle="stop" errorTitle="Giá trị chưa hợp lệ" error="Nhập đúng phạm vi; 0 là bỏ câu, trống là chưa làm.">
      <x:formula1>0.01</x:formula1>
      <x:formula2>180</x:formula2>
    </x:dataValidation>
    <x:dataValidation type="list" sqref="F156" allowBlank="1" showErrorMessage="1" errorStyle="stop" errorTitle="Giá trị chưa hợp lệ" error="Nhập đúng phạm vi; 0 là bỏ câu, trống là chưa làm.">
      <x:formula1>"Mới,Ôn lại"</x:formula1>
    </x:dataValidation>
    <x:dataValidation type="list" sqref="B157" allowBlank="1" showErrorMessage="1" errorStyle="stop" errorTitle="Giá trị chưa hợp lệ" error="Nhập đúng phạm vi; 0 là bỏ câu, trống là chưa làm.">
      <x:formula1>"Xong"</x:formula1>
    </x:dataValidation>
    <x:dataValidation type="list" sqref="B161" allowBlank="1" showErrorMessage="1" errorStyle="stop" errorTitle="Giá trị chưa hợp lệ" error="Nhập đúng phạm vi; 0 là bỏ câu, trống là chưa làm.">
      <x:formula1>"V,G,R,A,M,T,F"</x:formula1>
    </x:dataValidation>
  </x:dataValidations>
  <x:hyperlinks>
    <x:hyperlink ref="A7" display="N4-G1" location="'Làm nhanh'!A10"/>
    <x:hyperlink xmlns:ns0="http://schemas.openxmlformats.org/officeDocument/2006/relationships" ref="B11" display="Mở đề" ns0:id="rIdV31"/>
    <x:hyperlink xmlns:ns1="http://schemas.openxmlformats.org/officeDocument/2006/relationships" ref="E11" display="Khóa sau khi làm" ns1:id="rIdV32"/>
    <x:hyperlink ref="E21" display="Xem tuần" location="'Tổng hợp tuần'!A2"/>
    <x:hyperlink ref="B7" display="N4-G2" location="'Làm nhanh'!A24"/>
    <x:hyperlink xmlns:ns2="http://schemas.openxmlformats.org/officeDocument/2006/relationships" ref="B25" display="Mở đề" ns2:id="rIdV33"/>
    <x:hyperlink xmlns:ns3="http://schemas.openxmlformats.org/officeDocument/2006/relationships" ref="E25" display="Khóa sau khi làm" ns3:id="rIdV34"/>
    <x:hyperlink ref="E35" display="Xem tuần" location="'Tổng hợp tuần'!A2"/>
    <x:hyperlink ref="C7" display="N4-V" location="'Làm nhanh'!A38"/>
    <x:hyperlink xmlns:ns4="http://schemas.openxmlformats.org/officeDocument/2006/relationships" ref="B39" display="Mở đề" ns4:id="rIdV35"/>
    <x:hyperlink xmlns:ns5="http://schemas.openxmlformats.org/officeDocument/2006/relationships" ref="E39" display="Khóa sau khi làm" ns5:id="rIdV36"/>
    <x:hyperlink ref="E49" display="Xem tuần" location="'Tổng hợp tuần'!A2"/>
    <x:hyperlink ref="D7" display="N4-R" location="'Làm nhanh'!A52"/>
    <x:hyperlink xmlns:ns6="http://schemas.openxmlformats.org/officeDocument/2006/relationships" ref="B53" display="Mở đề" ns6:id="rIdV37"/>
    <x:hyperlink xmlns:ns7="http://schemas.openxmlformats.org/officeDocument/2006/relationships" ref="E53" display="Khóa sau khi làm" ns7:id="rIdV38"/>
    <x:hyperlink ref="E63" display="Xem tuần" location="'Tổng hợp tuần'!A2"/>
    <x:hyperlink ref="E7" display="N4-L1" location="'Làm nhanh'!A66"/>
    <x:hyperlink xmlns:ns8="http://schemas.openxmlformats.org/officeDocument/2006/relationships" ref="B67" display="Mở đề" ns8:id="rIdV39"/>
    <x:hyperlink xmlns:ns9="http://schemas.openxmlformats.org/officeDocument/2006/relationships" ref="E67" display="Khóa sau khi làm" ns9:id="rIdV310"/>
    <x:hyperlink ref="E77" display="Xem tuần" location="'Tổng hợp tuần'!A2"/>
    <x:hyperlink ref="F7" display="N4-L2" location="'Làm nhanh'!A80"/>
    <x:hyperlink xmlns:ns10="http://schemas.openxmlformats.org/officeDocument/2006/relationships" ref="B81" display="Mở đề" ns10:id="rIdV311"/>
    <x:hyperlink xmlns:ns11="http://schemas.openxmlformats.org/officeDocument/2006/relationships" ref="E81" display="Khóa sau khi làm" ns11:id="rIdV312"/>
    <x:hyperlink ref="E91" display="Xem tuần" location="'Tổng hợp tuần'!A2"/>
    <x:hyperlink ref="A8" display="N3-G" location="'Làm nhanh'!A94"/>
    <x:hyperlink xmlns:ns12="http://schemas.openxmlformats.org/officeDocument/2006/relationships" ref="B95" display="Mở đề" ns12:id="rIdV313"/>
    <x:hyperlink xmlns:ns13="http://schemas.openxmlformats.org/officeDocument/2006/relationships" ref="E95" display="Khóa sau khi làm" ns13:id="rIdV314"/>
    <x:hyperlink ref="E105" display="Xem tuần" location="'Tổng hợp tuần'!A2"/>
    <x:hyperlink ref="B8" display="N3-V" location="'Làm nhanh'!A108"/>
    <x:hyperlink xmlns:ns14="http://schemas.openxmlformats.org/officeDocument/2006/relationships" ref="B109" display="Mở đề" ns14:id="rIdV315"/>
    <x:hyperlink xmlns:ns15="http://schemas.openxmlformats.org/officeDocument/2006/relationships" ref="E109" display="Khóa sau khi làm" ns15:id="rIdV316"/>
    <x:hyperlink ref="E119" display="Xem tuần" location="'Tổng hợp tuần'!A2"/>
    <x:hyperlink ref="C8" display="N3-R" location="'Làm nhanh'!A122"/>
    <x:hyperlink xmlns:ns16="http://schemas.openxmlformats.org/officeDocument/2006/relationships" ref="B123" display="Mở đề" ns16:id="rIdV317"/>
    <x:hyperlink xmlns:ns17="http://schemas.openxmlformats.org/officeDocument/2006/relationships" ref="E123" display="Khóa sau khi làm" ns17:id="rIdV318"/>
    <x:hyperlink ref="E133" display="Xem tuần" location="'Tổng hợp tuần'!A2"/>
    <x:hyperlink ref="D8" display="N3-L1" location="'Làm nhanh'!A136"/>
    <x:hyperlink xmlns:ns18="http://schemas.openxmlformats.org/officeDocument/2006/relationships" ref="B137" display="Mở đề" ns18:id="rIdV319"/>
    <x:hyperlink xmlns:ns19="http://schemas.openxmlformats.org/officeDocument/2006/relationships" ref="E137" display="Khóa sau khi làm" ns19:id="rIdV320"/>
    <x:hyperlink ref="E147" display="Xem tuần" location="'Tổng hợp tuần'!A2"/>
    <x:hyperlink ref="E8" display="N3-L2" location="'Làm nhanh'!A150"/>
    <x:hyperlink xmlns:ns20="http://schemas.openxmlformats.org/officeDocument/2006/relationships" ref="B151" display="Mở đề" ns20:id="rIdV321"/>
    <x:hyperlink xmlns:ns21="http://schemas.openxmlformats.org/officeDocument/2006/relationships" ref="E151" display="Khóa sau khi làm" ns21:id="rIdV322"/>
    <x:hyperlink ref="E161" display="Xem tuần" location="'Tổng hợp tuần'!A2"/>
  </x:hyperlinks>
  <x:pageMargins left="0.7" right="0.7" top="0.75" bottom="0.75" header="0.3" footer="0.3"/>
</x:worksheet>
</file>