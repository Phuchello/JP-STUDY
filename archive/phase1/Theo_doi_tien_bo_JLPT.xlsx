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b721a26eb4e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hật ký" sheetId="1" r:id="R41b766268e7c4d90"/>
    <x:sheet xmlns:r="http://schemas.openxmlformats.org/officeDocument/2006/relationships" name="Đo năng lực" sheetId="2" r:id="R1c3dcd669ae24e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.0"/>
    <x:numFmt numFmtId="202" formatCode="0"/>
    <x:numFmt numFmtId="203" formatCode="0%"/>
  </x:numFmts>
  <x:fonts count="6">
    <x:font>
      <x:sz val="11"/>
      <x:name val="Carlito"/>
    </x:font>
    <x:font>
      <x:sz val="10"/>
      <x:color rgb="FF20282E"/>
      <x:name val="Arial"/>
    </x:font>
    <x:font>
      <x:b/>
      <x:sz val="10"/>
      <x:color rgb="FFFFFFFF"/>
      <x:name val="Arial"/>
    </x:font>
    <x:font>
      <x:b/>
      <x:sz val="14"/>
      <x:color rgb="FF000000"/>
      <x:name val="Arial"/>
    </x:font>
    <x:font>
      <x:i/>
      <x:sz val="10"/>
      <x:color rgb="FF5D6972"/>
      <x:name val="Arial"/>
    </x:font>
    <x:font>
      <x:b/>
      <x:sz val="11"/>
      <x:color rgb="FF314C6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14C62"/>
      </x:patternFill>
    </x:fill>
    <x:fill>
      <x:patternFill patternType="solid">
        <x:fgColor rgb="FFFFF7DE"/>
      </x:patternFill>
    </x:fill>
    <x:fill>
      <x:patternFill patternType="solid">
        <x:fgColor rgb="FFF1F5F8"/>
      </x:patternFill>
    </x:fill>
  </x:fills>
  <x:borders count="5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9D9D9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5">
    <x:dxf>
      <x:font>
        <x:color rgb="FF9C2F2F"/>
      </x:font>
      <x:fill>
        <x:patternFill patternType="solid">
          <x:bgColor rgb="FFFCE8E6"/>
        </x:patternFill>
      </x:fill>
    </x:dxf>
    <x:dxf>
      <x:font>
        <x:color rgb="FF9C2F2F"/>
      </x:font>
      <x:fill>
        <x:patternFill patternType="solid">
          <x:bgColor rgb="FFFCE8E6"/>
        </x:patternFill>
      </x:fill>
    </x:dxf>
    <x:dxf>
      <x:fill>
        <x:patternFill patternType="solid">
          <x:bgColor rgb="FFFFF0C2"/>
        </x:patternFill>
      </x:fill>
    </x:dxf>
    <x:dxf>
      <x:fill>
        <x:patternFill patternType="solid">
          <x:bgColor rgb="FFE5EFF7"/>
        </x:patternFill>
      </x:fill>
    </x:dxf>
    <x:dxf>
      <x:font>
        <x:b/>
        <x:color rgb="FF9C2F2F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421284b81b4c5f" /><Relationship Type="http://schemas.openxmlformats.org/officeDocument/2006/relationships/theme" Target="/xl/theme/theme1.xml" Id="Rc943bc0767074754" /><Relationship Type="http://schemas.openxmlformats.org/officeDocument/2006/relationships/sharedStrings" Target="/xl/sharedStrings.xml" Id="R64b331223a1d41dd" /><Relationship Type="http://schemas.openxmlformats.org/officeDocument/2006/relationships/worksheet" Target="/xl/worksheets/sheet1.xml" Id="R41b766268e7c4d90" /><Relationship Type="http://schemas.openxmlformats.org/officeDocument/2006/relationships/worksheet" Target="/xl/worksheets/sheet2.xml" Id="R1c3dcd669ae24e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4C62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9" hidden="0" customWidth="1"/>
    <x:col min="4" max="4" width="16" hidden="0" customWidth="1"/>
    <x:col min="5" max="5" width="12" hidden="0" customWidth="1"/>
    <x:col min="6" max="6" width="11" hidden="0" customWidth="1"/>
    <x:col min="7" max="7" width="11" hidden="0" customWidth="1"/>
    <x:col min="8" max="8" width="3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10" t="str">
        <x:v>Nhật ký tiếng Nhật từ 15 tháng 10 đến 5 tháng 12 năm 2026</x:v>
      </x:c>
      <x:c r="B2" s="10"/>
      <x:c r="C2" s="10"/>
      <x:c r="D2" s="10"/>
      <x:c r="E2" s="10"/>
      <x:c r="F2" s="10"/>
      <x:c r="G2" s="10"/>
      <x:c r="H2" s="10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 ht="28" customHeight="1">
      <x:c r="A4" s="2" t="str">
        <x:v>Ngày có ghi</x:v>
      </x:c>
      <x:c r="B4" s="14" t="n">
        <x:f>COUNT(E8:E59)</x:f>
        <x:v>0</x:v>
      </x:c>
      <x:c r="C4" s="2" t="str">
        <x:v>Phút học</x:v>
      </x:c>
      <x:c r="D4" s="14" t="str">
        <x:f>IF(COUNT(E8:E59)=0,"",SUM(E8:E59))</x:f>
      </x:c>
      <x:c r="E4" s="2" t="str">
        <x:v>Phút nghe</x:v>
      </x:c>
      <x:c r="F4" s="14" t="str">
        <x:f>IF(COUNT(F8:F59)=0,"",SUM(F8:F59))</x:f>
      </x:c>
      <x:c r="G4" s="2" t="str">
        <x:v>Phút nói</x:v>
      </x:c>
      <x:c r="H4" s="14" t="str">
        <x:f>IF(COUNT(G8:G59)=0,"",SUM(G8:G59))</x:f>
      </x:c>
    </x:row>
    <x:row r="5" ht="22" customHeight="1">
      <x:c r="A5" s="12" t="str">
        <x:v>Ô vàng để nhập. Để trống khi chưa ghi; nhập 0 khi thực sự không học. Ngủ là tổng trong 24 giờ.</x:v>
      </x:c>
      <x:c r="B5" s="12"/>
      <x:c r="C5" s="12"/>
      <x:c r="D5" s="12"/>
      <x:c r="E5" s="12"/>
      <x:c r="F5" s="12"/>
      <x:c r="G5" s="12"/>
      <x:c r="H5" s="12"/>
    </x:row>
    <x:row r="6" ht="22" customHeight="1">
      <x:c r="A6" s="12" t="str">
        <x:v>Nghe và nói nằm trong tổng phút học, không cộng trùng. Đỏ nhạt nếu nghe + nói vượt tổng đã nhập.</x:v>
      </x:c>
      <x:c r="B6" s="12"/>
      <x:c r="C6" s="12"/>
      <x:c r="D6" s="12"/>
      <x:c r="E6" s="12"/>
      <x:c r="F6" s="12"/>
      <x:c r="G6" s="12"/>
      <x:c r="H6" s="12"/>
    </x:row>
    <x:row r="7" ht="34" customHeight="1">
      <x:c r="A7" s="7" t="str">
        <x:v>Ngày</x:v>
      </x:c>
      <x:c r="B7" s="8" t="str">
        <x:v>Ngủ 24h
(giờ)</x:v>
      </x:c>
      <x:c r="C7" s="8" t="str">
        <x:v>Mệt
1 đến 5</x:v>
      </x:c>
      <x:c r="D7" s="8" t="str">
        <x:v>Chế độ</x:v>
      </x:c>
      <x:c r="E7" s="8" t="str">
        <x:v>Học
(phút)</x:v>
      </x:c>
      <x:c r="F7" s="8" t="str">
        <x:v>Nghe
(phút)</x:v>
      </x:c>
      <x:c r="G7" s="8" t="str">
        <x:v>Nói
(phút)</x:v>
      </x:c>
      <x:c r="H7" s="9" t="str">
        <x:v>Một lỗi hoặc việc tiếp theo</x:v>
      </x:c>
    </x:row>
    <x:row r="8" ht="25" customHeight="1">
      <x:c r="A8" s="22" t="n">
        <x:v>46310</x:v>
      </x:c>
      <x:c r="B8" s="23"/>
      <x:c r="C8" s="24"/>
      <x:c r="D8" s="26"/>
      <x:c r="E8" s="24"/>
      <x:c r="F8" s="24"/>
      <x:c r="G8" s="24"/>
      <x:c r="H8" s="21"/>
    </x:row>
    <x:row r="9" ht="25" customHeight="1">
      <x:c r="A9" s="22" t="n">
        <x:v>46311</x:v>
      </x:c>
      <x:c r="B9" s="23"/>
      <x:c r="C9" s="24"/>
      <x:c r="D9" s="26"/>
      <x:c r="E9" s="24"/>
      <x:c r="F9" s="24"/>
      <x:c r="G9" s="24"/>
      <x:c r="H9" s="21"/>
    </x:row>
    <x:row r="10" ht="25" customHeight="1">
      <x:c r="A10" s="22" t="n">
        <x:v>46312</x:v>
      </x:c>
      <x:c r="B10" s="23"/>
      <x:c r="C10" s="24"/>
      <x:c r="D10" s="26"/>
      <x:c r="E10" s="24"/>
      <x:c r="F10" s="24"/>
      <x:c r="G10" s="24"/>
      <x:c r="H10" s="21"/>
    </x:row>
    <x:row r="11" ht="25" customHeight="1">
      <x:c r="A11" s="22" t="n">
        <x:v>46313</x:v>
      </x:c>
      <x:c r="B11" s="23"/>
      <x:c r="C11" s="24"/>
      <x:c r="D11" s="26"/>
      <x:c r="E11" s="24"/>
      <x:c r="F11" s="24"/>
      <x:c r="G11" s="24"/>
      <x:c r="H11" s="21"/>
    </x:row>
    <x:row r="12" ht="25" customHeight="1">
      <x:c r="A12" s="22" t="n">
        <x:v>46314</x:v>
      </x:c>
      <x:c r="B12" s="23"/>
      <x:c r="C12" s="24"/>
      <x:c r="D12" s="26"/>
      <x:c r="E12" s="24"/>
      <x:c r="F12" s="24"/>
      <x:c r="G12" s="24"/>
      <x:c r="H12" s="21"/>
    </x:row>
    <x:row r="13" ht="25" customHeight="1">
      <x:c r="A13" s="22" t="n">
        <x:v>46315</x:v>
      </x:c>
      <x:c r="B13" s="23"/>
      <x:c r="C13" s="24"/>
      <x:c r="D13" s="26"/>
      <x:c r="E13" s="24"/>
      <x:c r="F13" s="24"/>
      <x:c r="G13" s="24"/>
      <x:c r="H13" s="21"/>
    </x:row>
    <x:row r="14" ht="25" customHeight="1">
      <x:c r="A14" s="22" t="n">
        <x:v>46316</x:v>
      </x:c>
      <x:c r="B14" s="23"/>
      <x:c r="C14" s="24"/>
      <x:c r="D14" s="26"/>
      <x:c r="E14" s="24"/>
      <x:c r="F14" s="24"/>
      <x:c r="G14" s="24"/>
      <x:c r="H14" s="21"/>
    </x:row>
    <x:row r="15" ht="25" customHeight="1">
      <x:c r="A15" s="22" t="n">
        <x:v>46317</x:v>
      </x:c>
      <x:c r="B15" s="23"/>
      <x:c r="C15" s="24"/>
      <x:c r="D15" s="26"/>
      <x:c r="E15" s="24"/>
      <x:c r="F15" s="24"/>
      <x:c r="G15" s="24"/>
      <x:c r="H15" s="21"/>
    </x:row>
    <x:row r="16" ht="25" customHeight="1">
      <x:c r="A16" s="22" t="n">
        <x:v>46318</x:v>
      </x:c>
      <x:c r="B16" s="23"/>
      <x:c r="C16" s="24"/>
      <x:c r="D16" s="26"/>
      <x:c r="E16" s="24"/>
      <x:c r="F16" s="24"/>
      <x:c r="G16" s="24"/>
      <x:c r="H16" s="21"/>
    </x:row>
    <x:row r="17" ht="25" customHeight="1">
      <x:c r="A17" s="22" t="n">
        <x:v>46319</x:v>
      </x:c>
      <x:c r="B17" s="23"/>
      <x:c r="C17" s="24"/>
      <x:c r="D17" s="26"/>
      <x:c r="E17" s="24"/>
      <x:c r="F17" s="24"/>
      <x:c r="G17" s="24"/>
      <x:c r="H17" s="21"/>
    </x:row>
    <x:row r="18" ht="25" customHeight="1">
      <x:c r="A18" s="22" t="n">
        <x:v>46320</x:v>
      </x:c>
      <x:c r="B18" s="23"/>
      <x:c r="C18" s="24"/>
      <x:c r="D18" s="26"/>
      <x:c r="E18" s="24"/>
      <x:c r="F18" s="24"/>
      <x:c r="G18" s="24"/>
      <x:c r="H18" s="21"/>
    </x:row>
    <x:row r="19" ht="25" customHeight="1">
      <x:c r="A19" s="22" t="n">
        <x:v>46321</x:v>
      </x:c>
      <x:c r="B19" s="23"/>
      <x:c r="C19" s="24"/>
      <x:c r="D19" s="26"/>
      <x:c r="E19" s="24"/>
      <x:c r="F19" s="24"/>
      <x:c r="G19" s="24"/>
      <x:c r="H19" s="21"/>
    </x:row>
    <x:row r="20" ht="25" customHeight="1">
      <x:c r="A20" s="22" t="n">
        <x:v>46322</x:v>
      </x:c>
      <x:c r="B20" s="23"/>
      <x:c r="C20" s="24"/>
      <x:c r="D20" s="26"/>
      <x:c r="E20" s="24"/>
      <x:c r="F20" s="24"/>
      <x:c r="G20" s="24"/>
      <x:c r="H20" s="21"/>
    </x:row>
    <x:row r="21" ht="25" customHeight="1">
      <x:c r="A21" s="22" t="n">
        <x:v>46323</x:v>
      </x:c>
      <x:c r="B21" s="23"/>
      <x:c r="C21" s="24"/>
      <x:c r="D21" s="26"/>
      <x:c r="E21" s="24"/>
      <x:c r="F21" s="24"/>
      <x:c r="G21" s="24"/>
      <x:c r="H21" s="21"/>
    </x:row>
    <x:row r="22" ht="25" customHeight="1">
      <x:c r="A22" s="22" t="n">
        <x:v>46324</x:v>
      </x:c>
      <x:c r="B22" s="23"/>
      <x:c r="C22" s="24"/>
      <x:c r="D22" s="26"/>
      <x:c r="E22" s="24"/>
      <x:c r="F22" s="24"/>
      <x:c r="G22" s="24"/>
      <x:c r="H22" s="21"/>
    </x:row>
    <x:row r="23" ht="25" customHeight="1">
      <x:c r="A23" s="22" t="n">
        <x:v>46325</x:v>
      </x:c>
      <x:c r="B23" s="23"/>
      <x:c r="C23" s="24"/>
      <x:c r="D23" s="26"/>
      <x:c r="E23" s="24"/>
      <x:c r="F23" s="24"/>
      <x:c r="G23" s="24"/>
      <x:c r="H23" s="21"/>
    </x:row>
    <x:row r="24" ht="25" customHeight="1">
      <x:c r="A24" s="22" t="n">
        <x:v>46326</x:v>
      </x:c>
      <x:c r="B24" s="23"/>
      <x:c r="C24" s="24"/>
      <x:c r="D24" s="26"/>
      <x:c r="E24" s="24"/>
      <x:c r="F24" s="24"/>
      <x:c r="G24" s="24"/>
      <x:c r="H24" s="21"/>
    </x:row>
    <x:row r="25" ht="25" customHeight="1">
      <x:c r="A25" s="22" t="n">
        <x:v>46327</x:v>
      </x:c>
      <x:c r="B25" s="23"/>
      <x:c r="C25" s="24"/>
      <x:c r="D25" s="26"/>
      <x:c r="E25" s="24"/>
      <x:c r="F25" s="24"/>
      <x:c r="G25" s="24"/>
      <x:c r="H25" s="21"/>
    </x:row>
    <x:row r="26" ht="25" customHeight="1">
      <x:c r="A26" s="22" t="n">
        <x:v>46328</x:v>
      </x:c>
      <x:c r="B26" s="23"/>
      <x:c r="C26" s="24"/>
      <x:c r="D26" s="26"/>
      <x:c r="E26" s="24"/>
      <x:c r="F26" s="24"/>
      <x:c r="G26" s="24"/>
      <x:c r="H26" s="21"/>
    </x:row>
    <x:row r="27" ht="25" customHeight="1">
      <x:c r="A27" s="22" t="n">
        <x:v>46329</x:v>
      </x:c>
      <x:c r="B27" s="23"/>
      <x:c r="C27" s="24"/>
      <x:c r="D27" s="26"/>
      <x:c r="E27" s="24"/>
      <x:c r="F27" s="24"/>
      <x:c r="G27" s="24"/>
      <x:c r="H27" s="21"/>
    </x:row>
    <x:row r="28" ht="25" customHeight="1">
      <x:c r="A28" s="22" t="n">
        <x:v>46330</x:v>
      </x:c>
      <x:c r="B28" s="23"/>
      <x:c r="C28" s="24"/>
      <x:c r="D28" s="26"/>
      <x:c r="E28" s="24"/>
      <x:c r="F28" s="24"/>
      <x:c r="G28" s="24"/>
      <x:c r="H28" s="21"/>
    </x:row>
    <x:row r="29" ht="25" customHeight="1">
      <x:c r="A29" s="22" t="n">
        <x:v>46331</x:v>
      </x:c>
      <x:c r="B29" s="23"/>
      <x:c r="C29" s="24"/>
      <x:c r="D29" s="26"/>
      <x:c r="E29" s="24"/>
      <x:c r="F29" s="24"/>
      <x:c r="G29" s="24"/>
      <x:c r="H29" s="21"/>
    </x:row>
    <x:row r="30" ht="25" customHeight="1">
      <x:c r="A30" s="22" t="n">
        <x:v>46332</x:v>
      </x:c>
      <x:c r="B30" s="23"/>
      <x:c r="C30" s="24"/>
      <x:c r="D30" s="26"/>
      <x:c r="E30" s="24"/>
      <x:c r="F30" s="24"/>
      <x:c r="G30" s="24"/>
      <x:c r="H30" s="21"/>
    </x:row>
    <x:row r="31" ht="25" customHeight="1">
      <x:c r="A31" s="22" t="n">
        <x:v>46333</x:v>
      </x:c>
      <x:c r="B31" s="23"/>
      <x:c r="C31" s="24"/>
      <x:c r="D31" s="26"/>
      <x:c r="E31" s="24"/>
      <x:c r="F31" s="24"/>
      <x:c r="G31" s="24"/>
      <x:c r="H31" s="21"/>
    </x:row>
    <x:row r="32" ht="25" customHeight="1">
      <x:c r="A32" s="22" t="n">
        <x:v>46334</x:v>
      </x:c>
      <x:c r="B32" s="23"/>
      <x:c r="C32" s="24"/>
      <x:c r="D32" s="26"/>
      <x:c r="E32" s="24"/>
      <x:c r="F32" s="24"/>
      <x:c r="G32" s="24"/>
      <x:c r="H32" s="21"/>
    </x:row>
    <x:row r="33" ht="25" customHeight="1">
      <x:c r="A33" s="22" t="n">
        <x:v>46335</x:v>
      </x:c>
      <x:c r="B33" s="23"/>
      <x:c r="C33" s="24"/>
      <x:c r="D33" s="26"/>
      <x:c r="E33" s="24"/>
      <x:c r="F33" s="24"/>
      <x:c r="G33" s="24"/>
      <x:c r="H33" s="21"/>
    </x:row>
    <x:row r="34" ht="25" customHeight="1">
      <x:c r="A34" s="22" t="n">
        <x:v>46336</x:v>
      </x:c>
      <x:c r="B34" s="23"/>
      <x:c r="C34" s="24"/>
      <x:c r="D34" s="26"/>
      <x:c r="E34" s="24"/>
      <x:c r="F34" s="24"/>
      <x:c r="G34" s="24"/>
      <x:c r="H34" s="21"/>
    </x:row>
    <x:row r="35" ht="25" customHeight="1">
      <x:c r="A35" s="22" t="n">
        <x:v>46337</x:v>
      </x:c>
      <x:c r="B35" s="23"/>
      <x:c r="C35" s="24"/>
      <x:c r="D35" s="26"/>
      <x:c r="E35" s="24"/>
      <x:c r="F35" s="24"/>
      <x:c r="G35" s="24"/>
      <x:c r="H35" s="21"/>
    </x:row>
    <x:row r="36" ht="25" customHeight="1">
      <x:c r="A36" s="22" t="n">
        <x:v>46338</x:v>
      </x:c>
      <x:c r="B36" s="23"/>
      <x:c r="C36" s="24"/>
      <x:c r="D36" s="26"/>
      <x:c r="E36" s="24"/>
      <x:c r="F36" s="24"/>
      <x:c r="G36" s="24"/>
      <x:c r="H36" s="21"/>
    </x:row>
    <x:row r="37" ht="25" customHeight="1">
      <x:c r="A37" s="22" t="n">
        <x:v>46339</x:v>
      </x:c>
      <x:c r="B37" s="23"/>
      <x:c r="C37" s="24"/>
      <x:c r="D37" s="26"/>
      <x:c r="E37" s="24"/>
      <x:c r="F37" s="24"/>
      <x:c r="G37" s="24"/>
      <x:c r="H37" s="21"/>
    </x:row>
    <x:row r="38" ht="25" customHeight="1">
      <x:c r="A38" s="22" t="n">
        <x:v>46340</x:v>
      </x:c>
      <x:c r="B38" s="23"/>
      <x:c r="C38" s="24"/>
      <x:c r="D38" s="26"/>
      <x:c r="E38" s="24"/>
      <x:c r="F38" s="24"/>
      <x:c r="G38" s="24"/>
      <x:c r="H38" s="21"/>
    </x:row>
    <x:row r="39" ht="25" customHeight="1">
      <x:c r="A39" s="22" t="n">
        <x:v>46341</x:v>
      </x:c>
      <x:c r="B39" s="23"/>
      <x:c r="C39" s="24"/>
      <x:c r="D39" s="26"/>
      <x:c r="E39" s="24"/>
      <x:c r="F39" s="24"/>
      <x:c r="G39" s="24"/>
      <x:c r="H39" s="21"/>
    </x:row>
    <x:row r="40" ht="25" customHeight="1">
      <x:c r="A40" s="22" t="n">
        <x:v>46342</x:v>
      </x:c>
      <x:c r="B40" s="23"/>
      <x:c r="C40" s="24"/>
      <x:c r="D40" s="26"/>
      <x:c r="E40" s="24"/>
      <x:c r="F40" s="24"/>
      <x:c r="G40" s="24"/>
      <x:c r="H40" s="21"/>
    </x:row>
    <x:row r="41" ht="25" customHeight="1">
      <x:c r="A41" s="22" t="n">
        <x:v>46343</x:v>
      </x:c>
      <x:c r="B41" s="23"/>
      <x:c r="C41" s="24"/>
      <x:c r="D41" s="26"/>
      <x:c r="E41" s="24"/>
      <x:c r="F41" s="24"/>
      <x:c r="G41" s="24"/>
      <x:c r="H41" s="21"/>
    </x:row>
    <x:row r="42" ht="25" customHeight="1">
      <x:c r="A42" s="22" t="n">
        <x:v>46344</x:v>
      </x:c>
      <x:c r="B42" s="23"/>
      <x:c r="C42" s="24"/>
      <x:c r="D42" s="26"/>
      <x:c r="E42" s="24"/>
      <x:c r="F42" s="24"/>
      <x:c r="G42" s="24"/>
      <x:c r="H42" s="21"/>
    </x:row>
    <x:row r="43" ht="25" customHeight="1">
      <x:c r="A43" s="22" t="n">
        <x:v>46345</x:v>
      </x:c>
      <x:c r="B43" s="23"/>
      <x:c r="C43" s="24"/>
      <x:c r="D43" s="26"/>
      <x:c r="E43" s="24"/>
      <x:c r="F43" s="24"/>
      <x:c r="G43" s="24"/>
      <x:c r="H43" s="21"/>
    </x:row>
    <x:row r="44" ht="25" customHeight="1">
      <x:c r="A44" s="22" t="n">
        <x:v>46346</x:v>
      </x:c>
      <x:c r="B44" s="23"/>
      <x:c r="C44" s="24"/>
      <x:c r="D44" s="26"/>
      <x:c r="E44" s="24"/>
      <x:c r="F44" s="24"/>
      <x:c r="G44" s="24"/>
      <x:c r="H44" s="21"/>
    </x:row>
    <x:row r="45" ht="25" customHeight="1">
      <x:c r="A45" s="22" t="n">
        <x:v>46347</x:v>
      </x:c>
      <x:c r="B45" s="23"/>
      <x:c r="C45" s="24"/>
      <x:c r="D45" s="26"/>
      <x:c r="E45" s="24"/>
      <x:c r="F45" s="24"/>
      <x:c r="G45" s="24"/>
      <x:c r="H45" s="21"/>
    </x:row>
    <x:row r="46" ht="25" customHeight="1">
      <x:c r="A46" s="22" t="n">
        <x:v>46348</x:v>
      </x:c>
      <x:c r="B46" s="23"/>
      <x:c r="C46" s="24"/>
      <x:c r="D46" s="26"/>
      <x:c r="E46" s="24"/>
      <x:c r="F46" s="24"/>
      <x:c r="G46" s="24"/>
      <x:c r="H46" s="21"/>
    </x:row>
    <x:row r="47" ht="25" customHeight="1">
      <x:c r="A47" s="22" t="n">
        <x:v>46349</x:v>
      </x:c>
      <x:c r="B47" s="23"/>
      <x:c r="C47" s="24"/>
      <x:c r="D47" s="26"/>
      <x:c r="E47" s="24"/>
      <x:c r="F47" s="24"/>
      <x:c r="G47" s="24"/>
      <x:c r="H47" s="21"/>
    </x:row>
    <x:row r="48" ht="25" customHeight="1">
      <x:c r="A48" s="22" t="n">
        <x:v>46350</x:v>
      </x:c>
      <x:c r="B48" s="23"/>
      <x:c r="C48" s="24"/>
      <x:c r="D48" s="26"/>
      <x:c r="E48" s="24"/>
      <x:c r="F48" s="24"/>
      <x:c r="G48" s="24"/>
      <x:c r="H48" s="21"/>
    </x:row>
    <x:row r="49" ht="25" customHeight="1">
      <x:c r="A49" s="22" t="n">
        <x:v>46351</x:v>
      </x:c>
      <x:c r="B49" s="23"/>
      <x:c r="C49" s="24"/>
      <x:c r="D49" s="26"/>
      <x:c r="E49" s="24"/>
      <x:c r="F49" s="24"/>
      <x:c r="G49" s="24"/>
      <x:c r="H49" s="21"/>
    </x:row>
    <x:row r="50" ht="25" customHeight="1">
      <x:c r="A50" s="22" t="n">
        <x:v>46352</x:v>
      </x:c>
      <x:c r="B50" s="23"/>
      <x:c r="C50" s="24"/>
      <x:c r="D50" s="26"/>
      <x:c r="E50" s="24"/>
      <x:c r="F50" s="24"/>
      <x:c r="G50" s="24"/>
      <x:c r="H50" s="21"/>
    </x:row>
    <x:row r="51" ht="25" customHeight="1">
      <x:c r="A51" s="22" t="n">
        <x:v>46353</x:v>
      </x:c>
      <x:c r="B51" s="23"/>
      <x:c r="C51" s="24"/>
      <x:c r="D51" s="26"/>
      <x:c r="E51" s="24"/>
      <x:c r="F51" s="24"/>
      <x:c r="G51" s="24"/>
      <x:c r="H51" s="21"/>
    </x:row>
    <x:row r="52" ht="25" customHeight="1">
      <x:c r="A52" s="22" t="n">
        <x:v>46354</x:v>
      </x:c>
      <x:c r="B52" s="23"/>
      <x:c r="C52" s="24"/>
      <x:c r="D52" s="26"/>
      <x:c r="E52" s="24"/>
      <x:c r="F52" s="24"/>
      <x:c r="G52" s="24"/>
      <x:c r="H52" s="21"/>
    </x:row>
    <x:row r="53" ht="25" customHeight="1">
      <x:c r="A53" s="22" t="n">
        <x:v>46355</x:v>
      </x:c>
      <x:c r="B53" s="23"/>
      <x:c r="C53" s="24"/>
      <x:c r="D53" s="26"/>
      <x:c r="E53" s="24"/>
      <x:c r="F53" s="24"/>
      <x:c r="G53" s="24"/>
      <x:c r="H53" s="21"/>
    </x:row>
    <x:row r="54" ht="25" customHeight="1">
      <x:c r="A54" s="22" t="n">
        <x:v>46356</x:v>
      </x:c>
      <x:c r="B54" s="23"/>
      <x:c r="C54" s="24"/>
      <x:c r="D54" s="26"/>
      <x:c r="E54" s="24"/>
      <x:c r="F54" s="24"/>
      <x:c r="G54" s="24"/>
      <x:c r="H54" s="21"/>
    </x:row>
    <x:row r="55" ht="25" customHeight="1">
      <x:c r="A55" s="22" t="n">
        <x:v>46357</x:v>
      </x:c>
      <x:c r="B55" s="23"/>
      <x:c r="C55" s="24"/>
      <x:c r="D55" s="26"/>
      <x:c r="E55" s="24"/>
      <x:c r="F55" s="24"/>
      <x:c r="G55" s="24"/>
      <x:c r="H55" s="21"/>
    </x:row>
    <x:row r="56" ht="25" customHeight="1">
      <x:c r="A56" s="22" t="n">
        <x:v>46358</x:v>
      </x:c>
      <x:c r="B56" s="23"/>
      <x:c r="C56" s="24"/>
      <x:c r="D56" s="26"/>
      <x:c r="E56" s="24"/>
      <x:c r="F56" s="24"/>
      <x:c r="G56" s="24"/>
      <x:c r="H56" s="21"/>
    </x:row>
    <x:row r="57" ht="25" customHeight="1">
      <x:c r="A57" s="22" t="n">
        <x:v>46359</x:v>
      </x:c>
      <x:c r="B57" s="23"/>
      <x:c r="C57" s="24"/>
      <x:c r="D57" s="26"/>
      <x:c r="E57" s="24"/>
      <x:c r="F57" s="24"/>
      <x:c r="G57" s="24"/>
      <x:c r="H57" s="21"/>
    </x:row>
    <x:row r="58" ht="25" customHeight="1">
      <x:c r="A58" s="22" t="n">
        <x:v>46360</x:v>
      </x:c>
      <x:c r="B58" s="23"/>
      <x:c r="C58" s="24"/>
      <x:c r="D58" s="26"/>
      <x:c r="E58" s="24"/>
      <x:c r="F58" s="24"/>
      <x:c r="G58" s="24"/>
      <x:c r="H58" s="21"/>
    </x:row>
    <x:row r="59" ht="25" customHeight="1">
      <x:c r="A59" s="22" t="n">
        <x:v>46361</x:v>
      </x:c>
      <x:c r="B59" s="23"/>
      <x:c r="C59" s="24"/>
      <x:c r="D59" s="26"/>
      <x:c r="E59" s="24"/>
      <x:c r="F59" s="24"/>
      <x:c r="G59" s="24"/>
      <x:c r="H59" s="21"/>
    </x:row>
  </x:sheetData>
  <x:conditionalFormatting sqref="E8:G59">
    <x:cfRule type="expression" dxfId="0" priority="1">
      <x:formula>AND(ISNUMBER($E8),SUM($F8:$G8)&gt;$E8)</x:formula>
    </x:cfRule>
  </x:conditionalFormatting>
  <x:dataValidations count="3">
    <x:dataValidation type="list" sqref="D8:D59">
      <x:formula1>"Nghỉ,Kiệt sức,Bình thường,Đủ sức"</x:formula1>
    </x:dataValidation>
    <x:dataValidation type="whole" operator="between" sqref="C8:C59">
      <x:formula1>1</x:formula1>
      <x:formula2>5</x:formula2>
    </x:dataValidation>
    <x:dataValidation type="whole" operator="between" sqref="E8:G59">
      <x:formula1>0</x:formula1>
      <x:formula2>1440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4C62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8" hidden="0" customWidth="1"/>
    <x:col min="3" max="3" width="15" hidden="0" customWidth="1"/>
    <x:col min="4" max="4" width="24" hidden="0" customWidth="1"/>
    <x:col min="5" max="5" width="12" hidden="0" customWidth="1"/>
    <x:col min="6" max="6" width="9" hidden="0" customWidth="1"/>
    <x:col min="7" max="7" width="10" hidden="0" customWidth="1"/>
    <x:col min="8" max="8" width="10" hidden="0" customWidth="1"/>
    <x:col min="9" max="9" width="12" hidden="0" customWidth="1"/>
    <x:col min="10" max="10" width="3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10" t="str">
        <x:v>Đo năng lực bằng câu mới và ôn lại lỗi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2" t="str">
        <x:v>Tỷ lệ đúng thô không đổi thành điểm JLPT. Chỉ dùng các hàng Mới để quyết định tăng độ khó.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2" customHeight="1">
      <x:c r="A5" s="12" t="str">
        <x:v>Ngày là mốc dự kiến, sửa theo ngày làm thật. Ô vàng để nhập; ô xanh nhạt là công thức.</x:v>
      </x:c>
      <x:c r="B5" s="12"/>
      <x:c r="C5" s="12"/>
      <x:c r="D5" s="12"/>
      <x:c r="E5" s="12"/>
      <x:c r="F5" s="12"/>
      <x:c r="G5" s="12"/>
      <x:c r="H5" s="12"/>
      <x:c r="I5" s="12"/>
      <x:c r="J5" s="12"/>
    </x:row>
    <x:row r="6" ht="22" customHeight="1">
      <x:c r="A6" s="12" t="str">
        <x:v>Nguồn đề: https://www.jlpt.jp/e/samples/sampleindex.html . Màu 60% và 80% là mốc thực hành.</x:v>
      </x:c>
      <x:c r="B6" s="12"/>
      <x:c r="C6" s="12"/>
      <x:c r="D6" s="12"/>
      <x:c r="E6" s="12"/>
      <x:c r="F6" s="12"/>
      <x:c r="G6" s="12"/>
      <x:c r="H6" s="12"/>
      <x:c r="I6" s="12"/>
      <x:c r="J6" s="12"/>
    </x:row>
    <x:row r="7" ht="34" customHeight="1">
      <x:c r="A7" s="7" t="str">
        <x:v>Ngày đo</x:v>
      </x:c>
      <x:c r="B7" s="8" t="str">
        <x:v>Cấp</x:v>
      </x:c>
      <x:c r="C7" s="8" t="str">
        <x:v>Kỹ năng</x:v>
      </x:c>
      <x:c r="D7" s="8" t="str">
        <x:v>Mã cuốn / phần / câu</x:v>
      </x:c>
      <x:c r="E7" s="8" t="str">
        <x:v>Loại câu</x:v>
      </x:c>
      <x:c r="F7" s="8" t="str">
        <x:v>Số đúng</x:v>
      </x:c>
      <x:c r="G7" s="8" t="str">
        <x:v>Tổng câu</x:v>
      </x:c>
      <x:c r="H7" s="8" t="str">
        <x:v>Phút làm</x:v>
      </x:c>
      <x:c r="I7" s="8" t="str">
        <x:v>Tỷ lệ đúng</x:v>
      </x:c>
      <x:c r="J7" s="9" t="str">
        <x:v>Lỗi chính hoặc quyết định</x:v>
      </x:c>
    </x:row>
    <x:row r="8" ht="25" customHeight="1">
      <x:c r="A8" s="28" t="n">
        <x:v>46310</x:v>
      </x:c>
      <x:c r="B8" s="20" t="str">
        <x:v>N4</x:v>
      </x:c>
      <x:c r="C8" s="20" t="str">
        <x:v>Từ và kanji</x:v>
      </x:c>
      <x:c r="D8" s="21"/>
      <x:c r="E8" s="20"/>
      <x:c r="F8" s="24"/>
      <x:c r="G8" s="24"/>
      <x:c r="H8" s="24"/>
      <x:c r="I8" s="30" t="str">
        <x:f>IF(OR(ISBLANK(F8),ISBLANK(G8)),"",IF(OR(NOT(ISNUMBER(F8)),NOT(ISNUMBER(G8))),"Lỗi nhập",IF(OR(G8&lt;=0,F8&lt;0,F8&gt;G8),"Lỗi nhập",F8/G8)))</x:f>
      </x:c>
      <x:c r="J8" s="21"/>
    </x:row>
    <x:row r="9" ht="25" customHeight="1">
      <x:c r="A9" s="28" t="n">
        <x:v>46310</x:v>
      </x:c>
      <x:c r="B9" s="20" t="str">
        <x:v>N4</x:v>
      </x:c>
      <x:c r="C9" s="20" t="str">
        <x:v>Ngữ pháp</x:v>
      </x:c>
      <x:c r="D9" s="21"/>
      <x:c r="E9" s="20"/>
      <x:c r="F9" s="24"/>
      <x:c r="G9" s="24"/>
      <x:c r="H9" s="24"/>
      <x:c r="I9" s="30" t="str">
        <x:f>IF(OR(ISBLANK(F9),ISBLANK(G9)),"",IF(OR(NOT(ISNUMBER(F9)),NOT(ISNUMBER(G9))),"Lỗi nhập",IF(OR(G9&lt;=0,F9&lt;0,F9&gt;G9),"Lỗi nhập",F9/G9)))</x:f>
      </x:c>
      <x:c r="J9" s="21"/>
    </x:row>
    <x:row r="10" ht="25" customHeight="1">
      <x:c r="A10" s="28" t="n">
        <x:v>46310</x:v>
      </x:c>
      <x:c r="B10" s="20" t="str">
        <x:v>N4</x:v>
      </x:c>
      <x:c r="C10" s="20" t="str">
        <x:v>Đọc</x:v>
      </x:c>
      <x:c r="D10" s="21"/>
      <x:c r="E10" s="20"/>
      <x:c r="F10" s="24"/>
      <x:c r="G10" s="24"/>
      <x:c r="H10" s="24"/>
      <x:c r="I10" s="30" t="str">
        <x:f>IF(OR(ISBLANK(F10),ISBLANK(G10)),"",IF(OR(NOT(ISNUMBER(F10)),NOT(ISNUMBER(G10))),"Lỗi nhập",IF(OR(G10&lt;=0,F10&lt;0,F10&gt;G10),"Lỗi nhập",F10/G10)))</x:f>
      </x:c>
      <x:c r="J10" s="21"/>
    </x:row>
    <x:row r="11" ht="25" customHeight="1">
      <x:c r="A11" s="28" t="n">
        <x:v>46310</x:v>
      </x:c>
      <x:c r="B11" s="20" t="str">
        <x:v>N4</x:v>
      </x:c>
      <x:c r="C11" s="20" t="str">
        <x:v>Nghe</x:v>
      </x:c>
      <x:c r="D11" s="21"/>
      <x:c r="E11" s="20"/>
      <x:c r="F11" s="24"/>
      <x:c r="G11" s="24"/>
      <x:c r="H11" s="24"/>
      <x:c r="I11" s="30" t="str">
        <x:f>IF(OR(ISBLANK(F11),ISBLANK(G11)),"",IF(OR(NOT(ISNUMBER(F11)),NOT(ISNUMBER(G11))),"Lỗi nhập",IF(OR(G11&lt;=0,F11&lt;0,F11&gt;G11),"Lỗi nhập",F11/G11)))</x:f>
      </x:c>
      <x:c r="J11" s="21"/>
    </x:row>
    <x:row r="12" ht="25" customHeight="1">
      <x:c r="A12" s="28" t="n">
        <x:v>46310</x:v>
      </x:c>
      <x:c r="B12" s="20" t="str">
        <x:v>N3</x:v>
      </x:c>
      <x:c r="C12" s="20" t="str">
        <x:v>Từ và kanji</x:v>
      </x:c>
      <x:c r="D12" s="21"/>
      <x:c r="E12" s="20"/>
      <x:c r="F12" s="24"/>
      <x:c r="G12" s="24"/>
      <x:c r="H12" s="24"/>
      <x:c r="I12" s="30" t="str">
        <x:f>IF(OR(ISBLANK(F12),ISBLANK(G12)),"",IF(OR(NOT(ISNUMBER(F12)),NOT(ISNUMBER(G12))),"Lỗi nhập",IF(OR(G12&lt;=0,F12&lt;0,F12&gt;G12),"Lỗi nhập",F12/G12)))</x:f>
      </x:c>
      <x:c r="J12" s="21"/>
    </x:row>
    <x:row r="13" ht="25" customHeight="1">
      <x:c r="A13" s="28" t="n">
        <x:v>46310</x:v>
      </x:c>
      <x:c r="B13" s="20" t="str">
        <x:v>N3</x:v>
      </x:c>
      <x:c r="C13" s="20" t="str">
        <x:v>Ngữ pháp</x:v>
      </x:c>
      <x:c r="D13" s="21"/>
      <x:c r="E13" s="20"/>
      <x:c r="F13" s="24"/>
      <x:c r="G13" s="24"/>
      <x:c r="H13" s="24"/>
      <x:c r="I13" s="30" t="str">
        <x:f>IF(OR(ISBLANK(F13),ISBLANK(G13)),"",IF(OR(NOT(ISNUMBER(F13)),NOT(ISNUMBER(G13))),"Lỗi nhập",IF(OR(G13&lt;=0,F13&lt;0,F13&gt;G13),"Lỗi nhập",F13/G13)))</x:f>
      </x:c>
      <x:c r="J13" s="21"/>
    </x:row>
    <x:row r="14" ht="25" customHeight="1">
      <x:c r="A14" s="28" t="n">
        <x:v>46310</x:v>
      </x:c>
      <x:c r="B14" s="20" t="str">
        <x:v>N3</x:v>
      </x:c>
      <x:c r="C14" s="20" t="str">
        <x:v>Đọc</x:v>
      </x:c>
      <x:c r="D14" s="21"/>
      <x:c r="E14" s="20"/>
      <x:c r="F14" s="24"/>
      <x:c r="G14" s="24"/>
      <x:c r="H14" s="24"/>
      <x:c r="I14" s="30" t="str">
        <x:f>IF(OR(ISBLANK(F14),ISBLANK(G14)),"",IF(OR(NOT(ISNUMBER(F14)),NOT(ISNUMBER(G14))),"Lỗi nhập",IF(OR(G14&lt;=0,F14&lt;0,F14&gt;G14),"Lỗi nhập",F14/G14)))</x:f>
      </x:c>
      <x:c r="J14" s="21"/>
    </x:row>
    <x:row r="15" ht="25" customHeight="1">
      <x:c r="A15" s="28" t="n">
        <x:v>46310</x:v>
      </x:c>
      <x:c r="B15" s="20" t="str">
        <x:v>N3</x:v>
      </x:c>
      <x:c r="C15" s="20" t="str">
        <x:v>Nghe</x:v>
      </x:c>
      <x:c r="D15" s="21"/>
      <x:c r="E15" s="20"/>
      <x:c r="F15" s="24"/>
      <x:c r="G15" s="24"/>
      <x:c r="H15" s="24"/>
      <x:c r="I15" s="30" t="str">
        <x:f>IF(OR(ISBLANK(F15),ISBLANK(G15)),"",IF(OR(NOT(ISNUMBER(F15)),NOT(ISNUMBER(G15))),"Lỗi nhập",IF(OR(G15&lt;=0,F15&lt;0,F15&gt;G15),"Lỗi nhập",F15/G15)))</x:f>
      </x:c>
      <x:c r="J15" s="21"/>
    </x:row>
    <x:row r="16" ht="25" customHeight="1">
      <x:c r="A16" s="28" t="n">
        <x:v>46317</x:v>
      </x:c>
      <x:c r="B16" s="20" t="str">
        <x:v>N4</x:v>
      </x:c>
      <x:c r="C16" s="20" t="str">
        <x:v>Từ và kanji</x:v>
      </x:c>
      <x:c r="D16" s="21"/>
      <x:c r="E16" s="20"/>
      <x:c r="F16" s="24"/>
      <x:c r="G16" s="24"/>
      <x:c r="H16" s="24"/>
      <x:c r="I16" s="30" t="str">
        <x:f>IF(OR(ISBLANK(F16),ISBLANK(G16)),"",IF(OR(NOT(ISNUMBER(F16)),NOT(ISNUMBER(G16))),"Lỗi nhập",IF(OR(G16&lt;=0,F16&lt;0,F16&gt;G16),"Lỗi nhập",F16/G16)))</x:f>
      </x:c>
      <x:c r="J16" s="21"/>
    </x:row>
    <x:row r="17" ht="25" customHeight="1">
      <x:c r="A17" s="28" t="n">
        <x:v>46317</x:v>
      </x:c>
      <x:c r="B17" s="20" t="str">
        <x:v>N4</x:v>
      </x:c>
      <x:c r="C17" s="20" t="str">
        <x:v>Ngữ pháp</x:v>
      </x:c>
      <x:c r="D17" s="21"/>
      <x:c r="E17" s="20"/>
      <x:c r="F17" s="24"/>
      <x:c r="G17" s="24"/>
      <x:c r="H17" s="24"/>
      <x:c r="I17" s="30" t="str">
        <x:f>IF(OR(ISBLANK(F17),ISBLANK(G17)),"",IF(OR(NOT(ISNUMBER(F17)),NOT(ISNUMBER(G17))),"Lỗi nhập",IF(OR(G17&lt;=0,F17&lt;0,F17&gt;G17),"Lỗi nhập",F17/G17)))</x:f>
      </x:c>
      <x:c r="J17" s="21"/>
    </x:row>
    <x:row r="18" ht="25" customHeight="1">
      <x:c r="A18" s="28" t="n">
        <x:v>46317</x:v>
      </x:c>
      <x:c r="B18" s="20" t="str">
        <x:v>N4</x:v>
      </x:c>
      <x:c r="C18" s="20" t="str">
        <x:v>Đọc</x:v>
      </x:c>
      <x:c r="D18" s="21"/>
      <x:c r="E18" s="20"/>
      <x:c r="F18" s="24"/>
      <x:c r="G18" s="24"/>
      <x:c r="H18" s="24"/>
      <x:c r="I18" s="30" t="str">
        <x:f>IF(OR(ISBLANK(F18),ISBLANK(G18)),"",IF(OR(NOT(ISNUMBER(F18)),NOT(ISNUMBER(G18))),"Lỗi nhập",IF(OR(G18&lt;=0,F18&lt;0,F18&gt;G18),"Lỗi nhập",F18/G18)))</x:f>
      </x:c>
      <x:c r="J18" s="21"/>
    </x:row>
    <x:row r="19" ht="25" customHeight="1">
      <x:c r="A19" s="28" t="n">
        <x:v>46317</x:v>
      </x:c>
      <x:c r="B19" s="20" t="str">
        <x:v>N4</x:v>
      </x:c>
      <x:c r="C19" s="20" t="str">
        <x:v>Nghe</x:v>
      </x:c>
      <x:c r="D19" s="21"/>
      <x:c r="E19" s="20"/>
      <x:c r="F19" s="24"/>
      <x:c r="G19" s="24"/>
      <x:c r="H19" s="24"/>
      <x:c r="I19" s="30" t="str">
        <x:f>IF(OR(ISBLANK(F19),ISBLANK(G19)),"",IF(OR(NOT(ISNUMBER(F19)),NOT(ISNUMBER(G19))),"Lỗi nhập",IF(OR(G19&lt;=0,F19&lt;0,F19&gt;G19),"Lỗi nhập",F19/G19)))</x:f>
      </x:c>
      <x:c r="J19" s="21"/>
    </x:row>
    <x:row r="20" ht="25" customHeight="1">
      <x:c r="A20" s="28" t="n">
        <x:v>46317</x:v>
      </x:c>
      <x:c r="B20" s="20" t="str">
        <x:v>N3</x:v>
      </x:c>
      <x:c r="C20" s="20" t="str">
        <x:v>Từ và kanji</x:v>
      </x:c>
      <x:c r="D20" s="21"/>
      <x:c r="E20" s="20"/>
      <x:c r="F20" s="24"/>
      <x:c r="G20" s="24"/>
      <x:c r="H20" s="24"/>
      <x:c r="I20" s="30" t="str">
        <x:f>IF(OR(ISBLANK(F20),ISBLANK(G20)),"",IF(OR(NOT(ISNUMBER(F20)),NOT(ISNUMBER(G20))),"Lỗi nhập",IF(OR(G20&lt;=0,F20&lt;0,F20&gt;G20),"Lỗi nhập",F20/G20)))</x:f>
      </x:c>
      <x:c r="J20" s="21"/>
    </x:row>
    <x:row r="21" ht="25" customHeight="1">
      <x:c r="A21" s="28" t="n">
        <x:v>46317</x:v>
      </x:c>
      <x:c r="B21" s="20" t="str">
        <x:v>N3</x:v>
      </x:c>
      <x:c r="C21" s="20" t="str">
        <x:v>Ngữ pháp</x:v>
      </x:c>
      <x:c r="D21" s="21"/>
      <x:c r="E21" s="20"/>
      <x:c r="F21" s="24"/>
      <x:c r="G21" s="24"/>
      <x:c r="H21" s="24"/>
      <x:c r="I21" s="30" t="str">
        <x:f>IF(OR(ISBLANK(F21),ISBLANK(G21)),"",IF(OR(NOT(ISNUMBER(F21)),NOT(ISNUMBER(G21))),"Lỗi nhập",IF(OR(G21&lt;=0,F21&lt;0,F21&gt;G21),"Lỗi nhập",F21/G21)))</x:f>
      </x:c>
      <x:c r="J21" s="21"/>
    </x:row>
    <x:row r="22" ht="25" customHeight="1">
      <x:c r="A22" s="28" t="n">
        <x:v>46317</x:v>
      </x:c>
      <x:c r="B22" s="20" t="str">
        <x:v>N3</x:v>
      </x:c>
      <x:c r="C22" s="20" t="str">
        <x:v>Đọc</x:v>
      </x:c>
      <x:c r="D22" s="21"/>
      <x:c r="E22" s="20"/>
      <x:c r="F22" s="24"/>
      <x:c r="G22" s="24"/>
      <x:c r="H22" s="24"/>
      <x:c r="I22" s="30" t="str">
        <x:f>IF(OR(ISBLANK(F22),ISBLANK(G22)),"",IF(OR(NOT(ISNUMBER(F22)),NOT(ISNUMBER(G22))),"Lỗi nhập",IF(OR(G22&lt;=0,F22&lt;0,F22&gt;G22),"Lỗi nhập",F22/G22)))</x:f>
      </x:c>
      <x:c r="J22" s="21"/>
    </x:row>
    <x:row r="23" ht="25" customHeight="1">
      <x:c r="A23" s="28" t="n">
        <x:v>46317</x:v>
      </x:c>
      <x:c r="B23" s="20" t="str">
        <x:v>N3</x:v>
      </x:c>
      <x:c r="C23" s="20" t="str">
        <x:v>Nghe</x:v>
      </x:c>
      <x:c r="D23" s="21"/>
      <x:c r="E23" s="20"/>
      <x:c r="F23" s="24"/>
      <x:c r="G23" s="24"/>
      <x:c r="H23" s="24"/>
      <x:c r="I23" s="30" t="str">
        <x:f>IF(OR(ISBLANK(F23),ISBLANK(G23)),"",IF(OR(NOT(ISNUMBER(F23)),NOT(ISNUMBER(G23))),"Lỗi nhập",IF(OR(G23&lt;=0,F23&lt;0,F23&gt;G23),"Lỗi nhập",F23/G23)))</x:f>
      </x:c>
      <x:c r="J23" s="21"/>
    </x:row>
    <x:row r="24" ht="25" customHeight="1">
      <x:c r="A24" s="28" t="n">
        <x:v>46324</x:v>
      </x:c>
      <x:c r="B24" s="20" t="str">
        <x:v>N4</x:v>
      </x:c>
      <x:c r="C24" s="20" t="str">
        <x:v>Từ và kanji</x:v>
      </x:c>
      <x:c r="D24" s="21"/>
      <x:c r="E24" s="20"/>
      <x:c r="F24" s="24"/>
      <x:c r="G24" s="24"/>
      <x:c r="H24" s="24"/>
      <x:c r="I24" s="30" t="str">
        <x:f>IF(OR(ISBLANK(F24),ISBLANK(G24)),"",IF(OR(NOT(ISNUMBER(F24)),NOT(ISNUMBER(G24))),"Lỗi nhập",IF(OR(G24&lt;=0,F24&lt;0,F24&gt;G24),"Lỗi nhập",F24/G24)))</x:f>
      </x:c>
      <x:c r="J24" s="21"/>
    </x:row>
    <x:row r="25" ht="25" customHeight="1">
      <x:c r="A25" s="28" t="n">
        <x:v>46324</x:v>
      </x:c>
      <x:c r="B25" s="20" t="str">
        <x:v>N4</x:v>
      </x:c>
      <x:c r="C25" s="20" t="str">
        <x:v>Ngữ pháp</x:v>
      </x:c>
      <x:c r="D25" s="21"/>
      <x:c r="E25" s="20"/>
      <x:c r="F25" s="24"/>
      <x:c r="G25" s="24"/>
      <x:c r="H25" s="24"/>
      <x:c r="I25" s="30" t="str">
        <x:f>IF(OR(ISBLANK(F25),ISBLANK(G25)),"",IF(OR(NOT(ISNUMBER(F25)),NOT(ISNUMBER(G25))),"Lỗi nhập",IF(OR(G25&lt;=0,F25&lt;0,F25&gt;G25),"Lỗi nhập",F25/G25)))</x:f>
      </x:c>
      <x:c r="J25" s="21"/>
    </x:row>
    <x:row r="26" ht="25" customHeight="1">
      <x:c r="A26" s="28" t="n">
        <x:v>46324</x:v>
      </x:c>
      <x:c r="B26" s="20" t="str">
        <x:v>N4</x:v>
      </x:c>
      <x:c r="C26" s="20" t="str">
        <x:v>Đọc</x:v>
      </x:c>
      <x:c r="D26" s="21"/>
      <x:c r="E26" s="20"/>
      <x:c r="F26" s="24"/>
      <x:c r="G26" s="24"/>
      <x:c r="H26" s="24"/>
      <x:c r="I26" s="30" t="str">
        <x:f>IF(OR(ISBLANK(F26),ISBLANK(G26)),"",IF(OR(NOT(ISNUMBER(F26)),NOT(ISNUMBER(G26))),"Lỗi nhập",IF(OR(G26&lt;=0,F26&lt;0,F26&gt;G26),"Lỗi nhập",F26/G26)))</x:f>
      </x:c>
      <x:c r="J26" s="21"/>
    </x:row>
    <x:row r="27" ht="25" customHeight="1">
      <x:c r="A27" s="28" t="n">
        <x:v>46324</x:v>
      </x:c>
      <x:c r="B27" s="20" t="str">
        <x:v>N4</x:v>
      </x:c>
      <x:c r="C27" s="20" t="str">
        <x:v>Nghe</x:v>
      </x:c>
      <x:c r="D27" s="21"/>
      <x:c r="E27" s="20"/>
      <x:c r="F27" s="24"/>
      <x:c r="G27" s="24"/>
      <x:c r="H27" s="24"/>
      <x:c r="I27" s="30" t="str">
        <x:f>IF(OR(ISBLANK(F27),ISBLANK(G27)),"",IF(OR(NOT(ISNUMBER(F27)),NOT(ISNUMBER(G27))),"Lỗi nhập",IF(OR(G27&lt;=0,F27&lt;0,F27&gt;G27),"Lỗi nhập",F27/G27)))</x:f>
      </x:c>
      <x:c r="J27" s="21"/>
    </x:row>
    <x:row r="28" ht="25" customHeight="1">
      <x:c r="A28" s="28" t="n">
        <x:v>46324</x:v>
      </x:c>
      <x:c r="B28" s="20" t="str">
        <x:v>N3</x:v>
      </x:c>
      <x:c r="C28" s="20" t="str">
        <x:v>Từ và kanji</x:v>
      </x:c>
      <x:c r="D28" s="21"/>
      <x:c r="E28" s="20"/>
      <x:c r="F28" s="24"/>
      <x:c r="G28" s="24"/>
      <x:c r="H28" s="24"/>
      <x:c r="I28" s="30" t="str">
        <x:f>IF(OR(ISBLANK(F28),ISBLANK(G28)),"",IF(OR(NOT(ISNUMBER(F28)),NOT(ISNUMBER(G28))),"Lỗi nhập",IF(OR(G28&lt;=0,F28&lt;0,F28&gt;G28),"Lỗi nhập",F28/G28)))</x:f>
      </x:c>
      <x:c r="J28" s="21"/>
    </x:row>
    <x:row r="29" ht="25" customHeight="1">
      <x:c r="A29" s="28" t="n">
        <x:v>46324</x:v>
      </x:c>
      <x:c r="B29" s="20" t="str">
        <x:v>N3</x:v>
      </x:c>
      <x:c r="C29" s="20" t="str">
        <x:v>Ngữ pháp</x:v>
      </x:c>
      <x:c r="D29" s="21"/>
      <x:c r="E29" s="20"/>
      <x:c r="F29" s="24"/>
      <x:c r="G29" s="24"/>
      <x:c r="H29" s="24"/>
      <x:c r="I29" s="30" t="str">
        <x:f>IF(OR(ISBLANK(F29),ISBLANK(G29)),"",IF(OR(NOT(ISNUMBER(F29)),NOT(ISNUMBER(G29))),"Lỗi nhập",IF(OR(G29&lt;=0,F29&lt;0,F29&gt;G29),"Lỗi nhập",F29/G29)))</x:f>
      </x:c>
      <x:c r="J29" s="21"/>
    </x:row>
    <x:row r="30" ht="25" customHeight="1">
      <x:c r="A30" s="28" t="n">
        <x:v>46324</x:v>
      </x:c>
      <x:c r="B30" s="20" t="str">
        <x:v>N3</x:v>
      </x:c>
      <x:c r="C30" s="20" t="str">
        <x:v>Đọc</x:v>
      </x:c>
      <x:c r="D30" s="21"/>
      <x:c r="E30" s="20"/>
      <x:c r="F30" s="24"/>
      <x:c r="G30" s="24"/>
      <x:c r="H30" s="24"/>
      <x:c r="I30" s="30" t="str">
        <x:f>IF(OR(ISBLANK(F30),ISBLANK(G30)),"",IF(OR(NOT(ISNUMBER(F30)),NOT(ISNUMBER(G30))),"Lỗi nhập",IF(OR(G30&lt;=0,F30&lt;0,F30&gt;G30),"Lỗi nhập",F30/G30)))</x:f>
      </x:c>
      <x:c r="J30" s="21"/>
    </x:row>
    <x:row r="31" ht="25" customHeight="1">
      <x:c r="A31" s="28" t="n">
        <x:v>46324</x:v>
      </x:c>
      <x:c r="B31" s="20" t="str">
        <x:v>N3</x:v>
      </x:c>
      <x:c r="C31" s="20" t="str">
        <x:v>Nghe</x:v>
      </x:c>
      <x:c r="D31" s="21"/>
      <x:c r="E31" s="20"/>
      <x:c r="F31" s="24"/>
      <x:c r="G31" s="24"/>
      <x:c r="H31" s="24"/>
      <x:c r="I31" s="30" t="str">
        <x:f>IF(OR(ISBLANK(F31),ISBLANK(G31)),"",IF(OR(NOT(ISNUMBER(F31)),NOT(ISNUMBER(G31))),"Lỗi nhập",IF(OR(G31&lt;=0,F31&lt;0,F31&gt;G31),"Lỗi nhập",F31/G31)))</x:f>
      </x:c>
      <x:c r="J31" s="21"/>
    </x:row>
    <x:row r="32" ht="25" customHeight="1">
      <x:c r="A32" s="28" t="n">
        <x:v>46331</x:v>
      </x:c>
      <x:c r="B32" s="20" t="str">
        <x:v>N4</x:v>
      </x:c>
      <x:c r="C32" s="20" t="str">
        <x:v>Từ và kanji</x:v>
      </x:c>
      <x:c r="D32" s="21"/>
      <x:c r="E32" s="20"/>
      <x:c r="F32" s="24"/>
      <x:c r="G32" s="24"/>
      <x:c r="H32" s="24"/>
      <x:c r="I32" s="30" t="str">
        <x:f>IF(OR(ISBLANK(F32),ISBLANK(G32)),"",IF(OR(NOT(ISNUMBER(F32)),NOT(ISNUMBER(G32))),"Lỗi nhập",IF(OR(G32&lt;=0,F32&lt;0,F32&gt;G32),"Lỗi nhập",F32/G32)))</x:f>
      </x:c>
      <x:c r="J32" s="21"/>
    </x:row>
    <x:row r="33" ht="25" customHeight="1">
      <x:c r="A33" s="28" t="n">
        <x:v>46331</x:v>
      </x:c>
      <x:c r="B33" s="20" t="str">
        <x:v>N4</x:v>
      </x:c>
      <x:c r="C33" s="20" t="str">
        <x:v>Ngữ pháp</x:v>
      </x:c>
      <x:c r="D33" s="21"/>
      <x:c r="E33" s="20"/>
      <x:c r="F33" s="24"/>
      <x:c r="G33" s="24"/>
      <x:c r="H33" s="24"/>
      <x:c r="I33" s="30" t="str">
        <x:f>IF(OR(ISBLANK(F33),ISBLANK(G33)),"",IF(OR(NOT(ISNUMBER(F33)),NOT(ISNUMBER(G33))),"Lỗi nhập",IF(OR(G33&lt;=0,F33&lt;0,F33&gt;G33),"Lỗi nhập",F33/G33)))</x:f>
      </x:c>
      <x:c r="J33" s="21"/>
    </x:row>
    <x:row r="34" ht="25" customHeight="1">
      <x:c r="A34" s="28" t="n">
        <x:v>46331</x:v>
      </x:c>
      <x:c r="B34" s="20" t="str">
        <x:v>N4</x:v>
      </x:c>
      <x:c r="C34" s="20" t="str">
        <x:v>Đọc</x:v>
      </x:c>
      <x:c r="D34" s="21"/>
      <x:c r="E34" s="20"/>
      <x:c r="F34" s="24"/>
      <x:c r="G34" s="24"/>
      <x:c r="H34" s="24"/>
      <x:c r="I34" s="30" t="str">
        <x:f>IF(OR(ISBLANK(F34),ISBLANK(G34)),"",IF(OR(NOT(ISNUMBER(F34)),NOT(ISNUMBER(G34))),"Lỗi nhập",IF(OR(G34&lt;=0,F34&lt;0,F34&gt;G34),"Lỗi nhập",F34/G34)))</x:f>
      </x:c>
      <x:c r="J34" s="21"/>
    </x:row>
    <x:row r="35" ht="25" customHeight="1">
      <x:c r="A35" s="28" t="n">
        <x:v>46331</x:v>
      </x:c>
      <x:c r="B35" s="20" t="str">
        <x:v>N4</x:v>
      </x:c>
      <x:c r="C35" s="20" t="str">
        <x:v>Nghe</x:v>
      </x:c>
      <x:c r="D35" s="21"/>
      <x:c r="E35" s="20"/>
      <x:c r="F35" s="24"/>
      <x:c r="G35" s="24"/>
      <x:c r="H35" s="24"/>
      <x:c r="I35" s="30" t="str">
        <x:f>IF(OR(ISBLANK(F35),ISBLANK(G35)),"",IF(OR(NOT(ISNUMBER(F35)),NOT(ISNUMBER(G35))),"Lỗi nhập",IF(OR(G35&lt;=0,F35&lt;0,F35&gt;G35),"Lỗi nhập",F35/G35)))</x:f>
      </x:c>
      <x:c r="J35" s="21"/>
    </x:row>
    <x:row r="36" ht="25" customHeight="1">
      <x:c r="A36" s="28" t="n">
        <x:v>46331</x:v>
      </x:c>
      <x:c r="B36" s="20" t="str">
        <x:v>N3</x:v>
      </x:c>
      <x:c r="C36" s="20" t="str">
        <x:v>Từ và kanji</x:v>
      </x:c>
      <x:c r="D36" s="21"/>
      <x:c r="E36" s="20"/>
      <x:c r="F36" s="24"/>
      <x:c r="G36" s="24"/>
      <x:c r="H36" s="24"/>
      <x:c r="I36" s="30" t="str">
        <x:f>IF(OR(ISBLANK(F36),ISBLANK(G36)),"",IF(OR(NOT(ISNUMBER(F36)),NOT(ISNUMBER(G36))),"Lỗi nhập",IF(OR(G36&lt;=0,F36&lt;0,F36&gt;G36),"Lỗi nhập",F36/G36)))</x:f>
      </x:c>
      <x:c r="J36" s="21"/>
    </x:row>
    <x:row r="37" ht="25" customHeight="1">
      <x:c r="A37" s="28" t="n">
        <x:v>46331</x:v>
      </x:c>
      <x:c r="B37" s="20" t="str">
        <x:v>N3</x:v>
      </x:c>
      <x:c r="C37" s="20" t="str">
        <x:v>Ngữ pháp</x:v>
      </x:c>
      <x:c r="D37" s="21"/>
      <x:c r="E37" s="20"/>
      <x:c r="F37" s="24"/>
      <x:c r="G37" s="24"/>
      <x:c r="H37" s="24"/>
      <x:c r="I37" s="30" t="str">
        <x:f>IF(OR(ISBLANK(F37),ISBLANK(G37)),"",IF(OR(NOT(ISNUMBER(F37)),NOT(ISNUMBER(G37))),"Lỗi nhập",IF(OR(G37&lt;=0,F37&lt;0,F37&gt;G37),"Lỗi nhập",F37/G37)))</x:f>
      </x:c>
      <x:c r="J37" s="21"/>
    </x:row>
    <x:row r="38" ht="25" customHeight="1">
      <x:c r="A38" s="28" t="n">
        <x:v>46331</x:v>
      </x:c>
      <x:c r="B38" s="20" t="str">
        <x:v>N3</x:v>
      </x:c>
      <x:c r="C38" s="20" t="str">
        <x:v>Đọc</x:v>
      </x:c>
      <x:c r="D38" s="21"/>
      <x:c r="E38" s="20"/>
      <x:c r="F38" s="24"/>
      <x:c r="G38" s="24"/>
      <x:c r="H38" s="24"/>
      <x:c r="I38" s="30" t="str">
        <x:f>IF(OR(ISBLANK(F38),ISBLANK(G38)),"",IF(OR(NOT(ISNUMBER(F38)),NOT(ISNUMBER(G38))),"Lỗi nhập",IF(OR(G38&lt;=0,F38&lt;0,F38&gt;G38),"Lỗi nhập",F38/G38)))</x:f>
      </x:c>
      <x:c r="J38" s="21"/>
    </x:row>
    <x:row r="39" ht="25" customHeight="1">
      <x:c r="A39" s="28" t="n">
        <x:v>46331</x:v>
      </x:c>
      <x:c r="B39" s="20" t="str">
        <x:v>N3</x:v>
      </x:c>
      <x:c r="C39" s="20" t="str">
        <x:v>Nghe</x:v>
      </x:c>
      <x:c r="D39" s="21"/>
      <x:c r="E39" s="20"/>
      <x:c r="F39" s="24"/>
      <x:c r="G39" s="24"/>
      <x:c r="H39" s="24"/>
      <x:c r="I39" s="30" t="str">
        <x:f>IF(OR(ISBLANK(F39),ISBLANK(G39)),"",IF(OR(NOT(ISNUMBER(F39)),NOT(ISNUMBER(G39))),"Lỗi nhập",IF(OR(G39&lt;=0,F39&lt;0,F39&gt;G39),"Lỗi nhập",F39/G39)))</x:f>
      </x:c>
      <x:c r="J39" s="21"/>
    </x:row>
    <x:row r="40" ht="25" customHeight="1">
      <x:c r="A40" s="28" t="n">
        <x:v>46338</x:v>
      </x:c>
      <x:c r="B40" s="20" t="str">
        <x:v>N4</x:v>
      </x:c>
      <x:c r="C40" s="20" t="str">
        <x:v>Từ và kanji</x:v>
      </x:c>
      <x:c r="D40" s="21"/>
      <x:c r="E40" s="20"/>
      <x:c r="F40" s="24"/>
      <x:c r="G40" s="24"/>
      <x:c r="H40" s="24"/>
      <x:c r="I40" s="30" t="str">
        <x:f>IF(OR(ISBLANK(F40),ISBLANK(G40)),"",IF(OR(NOT(ISNUMBER(F40)),NOT(ISNUMBER(G40))),"Lỗi nhập",IF(OR(G40&lt;=0,F40&lt;0,F40&gt;G40),"Lỗi nhập",F40/G40)))</x:f>
      </x:c>
      <x:c r="J40" s="21"/>
    </x:row>
    <x:row r="41" ht="25" customHeight="1">
      <x:c r="A41" s="28" t="n">
        <x:v>46338</x:v>
      </x:c>
      <x:c r="B41" s="20" t="str">
        <x:v>N4</x:v>
      </x:c>
      <x:c r="C41" s="20" t="str">
        <x:v>Ngữ pháp</x:v>
      </x:c>
      <x:c r="D41" s="21"/>
      <x:c r="E41" s="20"/>
      <x:c r="F41" s="24"/>
      <x:c r="G41" s="24"/>
      <x:c r="H41" s="24"/>
      <x:c r="I41" s="30" t="str">
        <x:f>IF(OR(ISBLANK(F41),ISBLANK(G41)),"",IF(OR(NOT(ISNUMBER(F41)),NOT(ISNUMBER(G41))),"Lỗi nhập",IF(OR(G41&lt;=0,F41&lt;0,F41&gt;G41),"Lỗi nhập",F41/G41)))</x:f>
      </x:c>
      <x:c r="J41" s="21"/>
    </x:row>
    <x:row r="42" ht="25" customHeight="1">
      <x:c r="A42" s="28" t="n">
        <x:v>46338</x:v>
      </x:c>
      <x:c r="B42" s="20" t="str">
        <x:v>N4</x:v>
      </x:c>
      <x:c r="C42" s="20" t="str">
        <x:v>Đọc</x:v>
      </x:c>
      <x:c r="D42" s="21"/>
      <x:c r="E42" s="20"/>
      <x:c r="F42" s="24"/>
      <x:c r="G42" s="24"/>
      <x:c r="H42" s="24"/>
      <x:c r="I42" s="30" t="str">
        <x:f>IF(OR(ISBLANK(F42),ISBLANK(G42)),"",IF(OR(NOT(ISNUMBER(F42)),NOT(ISNUMBER(G42))),"Lỗi nhập",IF(OR(G42&lt;=0,F42&lt;0,F42&gt;G42),"Lỗi nhập",F42/G42)))</x:f>
      </x:c>
      <x:c r="J42" s="21"/>
    </x:row>
    <x:row r="43" ht="25" customHeight="1">
      <x:c r="A43" s="28" t="n">
        <x:v>46338</x:v>
      </x:c>
      <x:c r="B43" s="20" t="str">
        <x:v>N4</x:v>
      </x:c>
      <x:c r="C43" s="20" t="str">
        <x:v>Nghe</x:v>
      </x:c>
      <x:c r="D43" s="21"/>
      <x:c r="E43" s="20"/>
      <x:c r="F43" s="24"/>
      <x:c r="G43" s="24"/>
      <x:c r="H43" s="24"/>
      <x:c r="I43" s="30" t="str">
        <x:f>IF(OR(ISBLANK(F43),ISBLANK(G43)),"",IF(OR(NOT(ISNUMBER(F43)),NOT(ISNUMBER(G43))),"Lỗi nhập",IF(OR(G43&lt;=0,F43&lt;0,F43&gt;G43),"Lỗi nhập",F43/G43)))</x:f>
      </x:c>
      <x:c r="J43" s="21"/>
    </x:row>
    <x:row r="44" ht="25" customHeight="1">
      <x:c r="A44" s="28" t="n">
        <x:v>46338</x:v>
      </x:c>
      <x:c r="B44" s="20" t="str">
        <x:v>N3</x:v>
      </x:c>
      <x:c r="C44" s="20" t="str">
        <x:v>Từ và kanji</x:v>
      </x:c>
      <x:c r="D44" s="21"/>
      <x:c r="E44" s="20"/>
      <x:c r="F44" s="24"/>
      <x:c r="G44" s="24"/>
      <x:c r="H44" s="24"/>
      <x:c r="I44" s="30" t="str">
        <x:f>IF(OR(ISBLANK(F44),ISBLANK(G44)),"",IF(OR(NOT(ISNUMBER(F44)),NOT(ISNUMBER(G44))),"Lỗi nhập",IF(OR(G44&lt;=0,F44&lt;0,F44&gt;G44),"Lỗi nhập",F44/G44)))</x:f>
      </x:c>
      <x:c r="J44" s="21"/>
    </x:row>
    <x:row r="45" ht="25" customHeight="1">
      <x:c r="A45" s="28" t="n">
        <x:v>46338</x:v>
      </x:c>
      <x:c r="B45" s="20" t="str">
        <x:v>N3</x:v>
      </x:c>
      <x:c r="C45" s="20" t="str">
        <x:v>Ngữ pháp</x:v>
      </x:c>
      <x:c r="D45" s="21"/>
      <x:c r="E45" s="20"/>
      <x:c r="F45" s="24"/>
      <x:c r="G45" s="24"/>
      <x:c r="H45" s="24"/>
      <x:c r="I45" s="30" t="str">
        <x:f>IF(OR(ISBLANK(F45),ISBLANK(G45)),"",IF(OR(NOT(ISNUMBER(F45)),NOT(ISNUMBER(G45))),"Lỗi nhập",IF(OR(G45&lt;=0,F45&lt;0,F45&gt;G45),"Lỗi nhập",F45/G45)))</x:f>
      </x:c>
      <x:c r="J45" s="21"/>
    </x:row>
    <x:row r="46" ht="25" customHeight="1">
      <x:c r="A46" s="28" t="n">
        <x:v>46338</x:v>
      </x:c>
      <x:c r="B46" s="20" t="str">
        <x:v>N3</x:v>
      </x:c>
      <x:c r="C46" s="20" t="str">
        <x:v>Đọc</x:v>
      </x:c>
      <x:c r="D46" s="21"/>
      <x:c r="E46" s="20"/>
      <x:c r="F46" s="24"/>
      <x:c r="G46" s="24"/>
      <x:c r="H46" s="24"/>
      <x:c r="I46" s="30" t="str">
        <x:f>IF(OR(ISBLANK(F46),ISBLANK(G46)),"",IF(OR(NOT(ISNUMBER(F46)),NOT(ISNUMBER(G46))),"Lỗi nhập",IF(OR(G46&lt;=0,F46&lt;0,F46&gt;G46),"Lỗi nhập",F46/G46)))</x:f>
      </x:c>
      <x:c r="J46" s="21"/>
    </x:row>
    <x:row r="47" ht="25" customHeight="1">
      <x:c r="A47" s="28" t="n">
        <x:v>46338</x:v>
      </x:c>
      <x:c r="B47" s="20" t="str">
        <x:v>N3</x:v>
      </x:c>
      <x:c r="C47" s="20" t="str">
        <x:v>Nghe</x:v>
      </x:c>
      <x:c r="D47" s="21"/>
      <x:c r="E47" s="20"/>
      <x:c r="F47" s="24"/>
      <x:c r="G47" s="24"/>
      <x:c r="H47" s="24"/>
      <x:c r="I47" s="30" t="str">
        <x:f>IF(OR(ISBLANK(F47),ISBLANK(G47)),"",IF(OR(NOT(ISNUMBER(F47)),NOT(ISNUMBER(G47))),"Lỗi nhập",IF(OR(G47&lt;=0,F47&lt;0,F47&gt;G47),"Lỗi nhập",F47/G47)))</x:f>
      </x:c>
      <x:c r="J47" s="21"/>
    </x:row>
    <x:row r="48" ht="25" customHeight="1">
      <x:c r="A48" s="28" t="n">
        <x:v>46345</x:v>
      </x:c>
      <x:c r="B48" s="20" t="str">
        <x:v>N4</x:v>
      </x:c>
      <x:c r="C48" s="20" t="str">
        <x:v>Từ và kanji</x:v>
      </x:c>
      <x:c r="D48" s="21"/>
      <x:c r="E48" s="20"/>
      <x:c r="F48" s="24"/>
      <x:c r="G48" s="24"/>
      <x:c r="H48" s="24"/>
      <x:c r="I48" s="30" t="str">
        <x:f>IF(OR(ISBLANK(F48),ISBLANK(G48)),"",IF(OR(NOT(ISNUMBER(F48)),NOT(ISNUMBER(G48))),"Lỗi nhập",IF(OR(G48&lt;=0,F48&lt;0,F48&gt;G48),"Lỗi nhập",F48/G48)))</x:f>
      </x:c>
      <x:c r="J48" s="21"/>
    </x:row>
    <x:row r="49" ht="25" customHeight="1">
      <x:c r="A49" s="28" t="n">
        <x:v>46345</x:v>
      </x:c>
      <x:c r="B49" s="20" t="str">
        <x:v>N4</x:v>
      </x:c>
      <x:c r="C49" s="20" t="str">
        <x:v>Ngữ pháp</x:v>
      </x:c>
      <x:c r="D49" s="21"/>
      <x:c r="E49" s="20"/>
      <x:c r="F49" s="24"/>
      <x:c r="G49" s="24"/>
      <x:c r="H49" s="24"/>
      <x:c r="I49" s="30" t="str">
        <x:f>IF(OR(ISBLANK(F49),ISBLANK(G49)),"",IF(OR(NOT(ISNUMBER(F49)),NOT(ISNUMBER(G49))),"Lỗi nhập",IF(OR(G49&lt;=0,F49&lt;0,F49&gt;G49),"Lỗi nhập",F49/G49)))</x:f>
      </x:c>
      <x:c r="J49" s="21"/>
    </x:row>
    <x:row r="50" ht="25" customHeight="1">
      <x:c r="A50" s="28" t="n">
        <x:v>46345</x:v>
      </x:c>
      <x:c r="B50" s="20" t="str">
        <x:v>N4</x:v>
      </x:c>
      <x:c r="C50" s="20" t="str">
        <x:v>Đọc</x:v>
      </x:c>
      <x:c r="D50" s="21"/>
      <x:c r="E50" s="20"/>
      <x:c r="F50" s="24"/>
      <x:c r="G50" s="24"/>
      <x:c r="H50" s="24"/>
      <x:c r="I50" s="30" t="str">
        <x:f>IF(OR(ISBLANK(F50),ISBLANK(G50)),"",IF(OR(NOT(ISNUMBER(F50)),NOT(ISNUMBER(G50))),"Lỗi nhập",IF(OR(G50&lt;=0,F50&lt;0,F50&gt;G50),"Lỗi nhập",F50/G50)))</x:f>
      </x:c>
      <x:c r="J50" s="21"/>
    </x:row>
    <x:row r="51" ht="25" customHeight="1">
      <x:c r="A51" s="28" t="n">
        <x:v>46345</x:v>
      </x:c>
      <x:c r="B51" s="20" t="str">
        <x:v>N4</x:v>
      </x:c>
      <x:c r="C51" s="20" t="str">
        <x:v>Nghe</x:v>
      </x:c>
      <x:c r="D51" s="21"/>
      <x:c r="E51" s="20"/>
      <x:c r="F51" s="24"/>
      <x:c r="G51" s="24"/>
      <x:c r="H51" s="24"/>
      <x:c r="I51" s="30" t="str">
        <x:f>IF(OR(ISBLANK(F51),ISBLANK(G51)),"",IF(OR(NOT(ISNUMBER(F51)),NOT(ISNUMBER(G51))),"Lỗi nhập",IF(OR(G51&lt;=0,F51&lt;0,F51&gt;G51),"Lỗi nhập",F51/G51)))</x:f>
      </x:c>
      <x:c r="J51" s="21"/>
    </x:row>
    <x:row r="52" ht="25" customHeight="1">
      <x:c r="A52" s="28" t="n">
        <x:v>46345</x:v>
      </x:c>
      <x:c r="B52" s="20" t="str">
        <x:v>N3</x:v>
      </x:c>
      <x:c r="C52" s="20" t="str">
        <x:v>Từ và kanji</x:v>
      </x:c>
      <x:c r="D52" s="21"/>
      <x:c r="E52" s="20"/>
      <x:c r="F52" s="24"/>
      <x:c r="G52" s="24"/>
      <x:c r="H52" s="24"/>
      <x:c r="I52" s="30" t="str">
        <x:f>IF(OR(ISBLANK(F52),ISBLANK(G52)),"",IF(OR(NOT(ISNUMBER(F52)),NOT(ISNUMBER(G52))),"Lỗi nhập",IF(OR(G52&lt;=0,F52&lt;0,F52&gt;G52),"Lỗi nhập",F52/G52)))</x:f>
      </x:c>
      <x:c r="J52" s="21"/>
    </x:row>
    <x:row r="53" ht="25" customHeight="1">
      <x:c r="A53" s="28" t="n">
        <x:v>46345</x:v>
      </x:c>
      <x:c r="B53" s="20" t="str">
        <x:v>N3</x:v>
      </x:c>
      <x:c r="C53" s="20" t="str">
        <x:v>Ngữ pháp</x:v>
      </x:c>
      <x:c r="D53" s="21"/>
      <x:c r="E53" s="20"/>
      <x:c r="F53" s="24"/>
      <x:c r="G53" s="24"/>
      <x:c r="H53" s="24"/>
      <x:c r="I53" s="30" t="str">
        <x:f>IF(OR(ISBLANK(F53),ISBLANK(G53)),"",IF(OR(NOT(ISNUMBER(F53)),NOT(ISNUMBER(G53))),"Lỗi nhập",IF(OR(G53&lt;=0,F53&lt;0,F53&gt;G53),"Lỗi nhập",F53/G53)))</x:f>
      </x:c>
      <x:c r="J53" s="21"/>
    </x:row>
    <x:row r="54" ht="25" customHeight="1">
      <x:c r="A54" s="28" t="n">
        <x:v>46345</x:v>
      </x:c>
      <x:c r="B54" s="20" t="str">
        <x:v>N3</x:v>
      </x:c>
      <x:c r="C54" s="20" t="str">
        <x:v>Đọc</x:v>
      </x:c>
      <x:c r="D54" s="21"/>
      <x:c r="E54" s="20"/>
      <x:c r="F54" s="24"/>
      <x:c r="G54" s="24"/>
      <x:c r="H54" s="24"/>
      <x:c r="I54" s="30" t="str">
        <x:f>IF(OR(ISBLANK(F54),ISBLANK(G54)),"",IF(OR(NOT(ISNUMBER(F54)),NOT(ISNUMBER(G54))),"Lỗi nhập",IF(OR(G54&lt;=0,F54&lt;0,F54&gt;G54),"Lỗi nhập",F54/G54)))</x:f>
      </x:c>
      <x:c r="J54" s="21"/>
    </x:row>
    <x:row r="55" ht="25" customHeight="1">
      <x:c r="A55" s="28" t="n">
        <x:v>46345</x:v>
      </x:c>
      <x:c r="B55" s="20" t="str">
        <x:v>N3</x:v>
      </x:c>
      <x:c r="C55" s="20" t="str">
        <x:v>Nghe</x:v>
      </x:c>
      <x:c r="D55" s="21"/>
      <x:c r="E55" s="20"/>
      <x:c r="F55" s="24"/>
      <x:c r="G55" s="24"/>
      <x:c r="H55" s="24"/>
      <x:c r="I55" s="30" t="str">
        <x:f>IF(OR(ISBLANK(F55),ISBLANK(G55)),"",IF(OR(NOT(ISNUMBER(F55)),NOT(ISNUMBER(G55))),"Lỗi nhập",IF(OR(G55&lt;=0,F55&lt;0,F55&gt;G55),"Lỗi nhập",F55/G55)))</x:f>
      </x:c>
      <x:c r="J55" s="21"/>
    </x:row>
    <x:row r="56" ht="25" customHeight="1">
      <x:c r="A56" s="28" t="n">
        <x:v>46352</x:v>
      </x:c>
      <x:c r="B56" s="20" t="str">
        <x:v>N4</x:v>
      </x:c>
      <x:c r="C56" s="20" t="str">
        <x:v>Từ và kanji</x:v>
      </x:c>
      <x:c r="D56" s="21"/>
      <x:c r="E56" s="20"/>
      <x:c r="F56" s="24"/>
      <x:c r="G56" s="24"/>
      <x:c r="H56" s="24"/>
      <x:c r="I56" s="30" t="str">
        <x:f>IF(OR(ISBLANK(F56),ISBLANK(G56)),"",IF(OR(NOT(ISNUMBER(F56)),NOT(ISNUMBER(G56))),"Lỗi nhập",IF(OR(G56&lt;=0,F56&lt;0,F56&gt;G56),"Lỗi nhập",F56/G56)))</x:f>
      </x:c>
      <x:c r="J56" s="21"/>
    </x:row>
    <x:row r="57" ht="25" customHeight="1">
      <x:c r="A57" s="28" t="n">
        <x:v>46352</x:v>
      </x:c>
      <x:c r="B57" s="20" t="str">
        <x:v>N4</x:v>
      </x:c>
      <x:c r="C57" s="20" t="str">
        <x:v>Ngữ pháp</x:v>
      </x:c>
      <x:c r="D57" s="21"/>
      <x:c r="E57" s="20"/>
      <x:c r="F57" s="24"/>
      <x:c r="G57" s="24"/>
      <x:c r="H57" s="24"/>
      <x:c r="I57" s="30" t="str">
        <x:f>IF(OR(ISBLANK(F57),ISBLANK(G57)),"",IF(OR(NOT(ISNUMBER(F57)),NOT(ISNUMBER(G57))),"Lỗi nhập",IF(OR(G57&lt;=0,F57&lt;0,F57&gt;G57),"Lỗi nhập",F57/G57)))</x:f>
      </x:c>
      <x:c r="J57" s="21"/>
    </x:row>
    <x:row r="58" ht="25" customHeight="1">
      <x:c r="A58" s="28" t="n">
        <x:v>46352</x:v>
      </x:c>
      <x:c r="B58" s="20" t="str">
        <x:v>N4</x:v>
      </x:c>
      <x:c r="C58" s="20" t="str">
        <x:v>Đọc</x:v>
      </x:c>
      <x:c r="D58" s="21"/>
      <x:c r="E58" s="20"/>
      <x:c r="F58" s="24"/>
      <x:c r="G58" s="24"/>
      <x:c r="H58" s="24"/>
      <x:c r="I58" s="30" t="str">
        <x:f>IF(OR(ISBLANK(F58),ISBLANK(G58)),"",IF(OR(NOT(ISNUMBER(F58)),NOT(ISNUMBER(G58))),"Lỗi nhập",IF(OR(G58&lt;=0,F58&lt;0,F58&gt;G58),"Lỗi nhập",F58/G58)))</x:f>
      </x:c>
      <x:c r="J58" s="21"/>
    </x:row>
    <x:row r="59" ht="25" customHeight="1">
      <x:c r="A59" s="28" t="n">
        <x:v>46352</x:v>
      </x:c>
      <x:c r="B59" s="20" t="str">
        <x:v>N4</x:v>
      </x:c>
      <x:c r="C59" s="20" t="str">
        <x:v>Nghe</x:v>
      </x:c>
      <x:c r="D59" s="21"/>
      <x:c r="E59" s="20"/>
      <x:c r="F59" s="24"/>
      <x:c r="G59" s="24"/>
      <x:c r="H59" s="24"/>
      <x:c r="I59" s="30" t="str">
        <x:f>IF(OR(ISBLANK(F59),ISBLANK(G59)),"",IF(OR(NOT(ISNUMBER(F59)),NOT(ISNUMBER(G59))),"Lỗi nhập",IF(OR(G59&lt;=0,F59&lt;0,F59&gt;G59),"Lỗi nhập",F59/G59)))</x:f>
      </x:c>
      <x:c r="J59" s="21"/>
    </x:row>
    <x:row r="60" ht="25" customHeight="1">
      <x:c r="A60" s="28" t="n">
        <x:v>46352</x:v>
      </x:c>
      <x:c r="B60" s="20" t="str">
        <x:v>N3</x:v>
      </x:c>
      <x:c r="C60" s="20" t="str">
        <x:v>Từ và kanji</x:v>
      </x:c>
      <x:c r="D60" s="21"/>
      <x:c r="E60" s="20"/>
      <x:c r="F60" s="24"/>
      <x:c r="G60" s="24"/>
      <x:c r="H60" s="24"/>
      <x:c r="I60" s="30" t="str">
        <x:f>IF(OR(ISBLANK(F60),ISBLANK(G60)),"",IF(OR(NOT(ISNUMBER(F60)),NOT(ISNUMBER(G60))),"Lỗi nhập",IF(OR(G60&lt;=0,F60&lt;0,F60&gt;G60),"Lỗi nhập",F60/G60)))</x:f>
      </x:c>
      <x:c r="J60" s="21"/>
    </x:row>
    <x:row r="61" ht="25" customHeight="1">
      <x:c r="A61" s="28" t="n">
        <x:v>46352</x:v>
      </x:c>
      <x:c r="B61" s="20" t="str">
        <x:v>N3</x:v>
      </x:c>
      <x:c r="C61" s="20" t="str">
        <x:v>Ngữ pháp</x:v>
      </x:c>
      <x:c r="D61" s="21"/>
      <x:c r="E61" s="20"/>
      <x:c r="F61" s="24"/>
      <x:c r="G61" s="24"/>
      <x:c r="H61" s="24"/>
      <x:c r="I61" s="30" t="str">
        <x:f>IF(OR(ISBLANK(F61),ISBLANK(G61)),"",IF(OR(NOT(ISNUMBER(F61)),NOT(ISNUMBER(G61))),"Lỗi nhập",IF(OR(G61&lt;=0,F61&lt;0,F61&gt;G61),"Lỗi nhập",F61/G61)))</x:f>
      </x:c>
      <x:c r="J61" s="21"/>
    </x:row>
    <x:row r="62" ht="25" customHeight="1">
      <x:c r="A62" s="28" t="n">
        <x:v>46352</x:v>
      </x:c>
      <x:c r="B62" s="20" t="str">
        <x:v>N3</x:v>
      </x:c>
      <x:c r="C62" s="20" t="str">
        <x:v>Đọc</x:v>
      </x:c>
      <x:c r="D62" s="21"/>
      <x:c r="E62" s="20"/>
      <x:c r="F62" s="24"/>
      <x:c r="G62" s="24"/>
      <x:c r="H62" s="24"/>
      <x:c r="I62" s="30" t="str">
        <x:f>IF(OR(ISBLANK(F62),ISBLANK(G62)),"",IF(OR(NOT(ISNUMBER(F62)),NOT(ISNUMBER(G62))),"Lỗi nhập",IF(OR(G62&lt;=0,F62&lt;0,F62&gt;G62),"Lỗi nhập",F62/G62)))</x:f>
      </x:c>
      <x:c r="J62" s="21"/>
    </x:row>
    <x:row r="63" ht="25" customHeight="1">
      <x:c r="A63" s="28" t="n">
        <x:v>46352</x:v>
      </x:c>
      <x:c r="B63" s="20" t="str">
        <x:v>N3</x:v>
      </x:c>
      <x:c r="C63" s="20" t="str">
        <x:v>Nghe</x:v>
      </x:c>
      <x:c r="D63" s="21"/>
      <x:c r="E63" s="20"/>
      <x:c r="F63" s="24"/>
      <x:c r="G63" s="24"/>
      <x:c r="H63" s="24"/>
      <x:c r="I63" s="30" t="str">
        <x:f>IF(OR(ISBLANK(F63),ISBLANK(G63)),"",IF(OR(NOT(ISNUMBER(F63)),NOT(ISNUMBER(G63))),"Lỗi nhập",IF(OR(G63&lt;=0,F63&lt;0,F63&gt;G63),"Lỗi nhập",F63/G63)))</x:f>
      </x:c>
      <x:c r="J63" s="21"/>
    </x:row>
    <x:row r="64" ht="25" customHeight="1">
      <x:c r="A64" s="28" t="n">
        <x:v>46359</x:v>
      </x:c>
      <x:c r="B64" s="20" t="str">
        <x:v>N4</x:v>
      </x:c>
      <x:c r="C64" s="20" t="str">
        <x:v>Từ và kanji</x:v>
      </x:c>
      <x:c r="D64" s="21"/>
      <x:c r="E64" s="20"/>
      <x:c r="F64" s="24"/>
      <x:c r="G64" s="24"/>
      <x:c r="H64" s="24"/>
      <x:c r="I64" s="30" t="str">
        <x:f>IF(OR(ISBLANK(F64),ISBLANK(G64)),"",IF(OR(NOT(ISNUMBER(F64)),NOT(ISNUMBER(G64))),"Lỗi nhập",IF(OR(G64&lt;=0,F64&lt;0,F64&gt;G64),"Lỗi nhập",F64/G64)))</x:f>
      </x:c>
      <x:c r="J64" s="21"/>
    </x:row>
    <x:row r="65" ht="25" customHeight="1">
      <x:c r="A65" s="28" t="n">
        <x:v>46359</x:v>
      </x:c>
      <x:c r="B65" s="20" t="str">
        <x:v>N4</x:v>
      </x:c>
      <x:c r="C65" s="20" t="str">
        <x:v>Ngữ pháp</x:v>
      </x:c>
      <x:c r="D65" s="21"/>
      <x:c r="E65" s="20"/>
      <x:c r="F65" s="24"/>
      <x:c r="G65" s="24"/>
      <x:c r="H65" s="24"/>
      <x:c r="I65" s="30" t="str">
        <x:f>IF(OR(ISBLANK(F65),ISBLANK(G65)),"",IF(OR(NOT(ISNUMBER(F65)),NOT(ISNUMBER(G65))),"Lỗi nhập",IF(OR(G65&lt;=0,F65&lt;0,F65&gt;G65),"Lỗi nhập",F65/G65)))</x:f>
      </x:c>
      <x:c r="J65" s="21"/>
    </x:row>
    <x:row r="66" ht="25" customHeight="1">
      <x:c r="A66" s="28" t="n">
        <x:v>46359</x:v>
      </x:c>
      <x:c r="B66" s="20" t="str">
        <x:v>N4</x:v>
      </x:c>
      <x:c r="C66" s="20" t="str">
        <x:v>Đọc</x:v>
      </x:c>
      <x:c r="D66" s="21"/>
      <x:c r="E66" s="20"/>
      <x:c r="F66" s="24"/>
      <x:c r="G66" s="24"/>
      <x:c r="H66" s="24"/>
      <x:c r="I66" s="30" t="str">
        <x:f>IF(OR(ISBLANK(F66),ISBLANK(G66)),"",IF(OR(NOT(ISNUMBER(F66)),NOT(ISNUMBER(G66))),"Lỗi nhập",IF(OR(G66&lt;=0,F66&lt;0,F66&gt;G66),"Lỗi nhập",F66/G66)))</x:f>
      </x:c>
      <x:c r="J66" s="21"/>
    </x:row>
    <x:row r="67" ht="25" customHeight="1">
      <x:c r="A67" s="28" t="n">
        <x:v>46359</x:v>
      </x:c>
      <x:c r="B67" s="20" t="str">
        <x:v>N4</x:v>
      </x:c>
      <x:c r="C67" s="20" t="str">
        <x:v>Nghe</x:v>
      </x:c>
      <x:c r="D67" s="21"/>
      <x:c r="E67" s="20"/>
      <x:c r="F67" s="24"/>
      <x:c r="G67" s="24"/>
      <x:c r="H67" s="24"/>
      <x:c r="I67" s="30" t="str">
        <x:f>IF(OR(ISBLANK(F67),ISBLANK(G67)),"",IF(OR(NOT(ISNUMBER(F67)),NOT(ISNUMBER(G67))),"Lỗi nhập",IF(OR(G67&lt;=0,F67&lt;0,F67&gt;G67),"Lỗi nhập",F67/G67)))</x:f>
      </x:c>
      <x:c r="J67" s="21"/>
    </x:row>
    <x:row r="68" ht="25" customHeight="1">
      <x:c r="A68" s="28" t="n">
        <x:v>46359</x:v>
      </x:c>
      <x:c r="B68" s="20" t="str">
        <x:v>N3</x:v>
      </x:c>
      <x:c r="C68" s="20" t="str">
        <x:v>Từ và kanji</x:v>
      </x:c>
      <x:c r="D68" s="21"/>
      <x:c r="E68" s="20"/>
      <x:c r="F68" s="24"/>
      <x:c r="G68" s="24"/>
      <x:c r="H68" s="24"/>
      <x:c r="I68" s="30" t="str">
        <x:f>IF(OR(ISBLANK(F68),ISBLANK(G68)),"",IF(OR(NOT(ISNUMBER(F68)),NOT(ISNUMBER(G68))),"Lỗi nhập",IF(OR(G68&lt;=0,F68&lt;0,F68&gt;G68),"Lỗi nhập",F68/G68)))</x:f>
      </x:c>
      <x:c r="J68" s="21"/>
    </x:row>
    <x:row r="69" ht="25" customHeight="1">
      <x:c r="A69" s="28" t="n">
        <x:v>46359</x:v>
      </x:c>
      <x:c r="B69" s="20" t="str">
        <x:v>N3</x:v>
      </x:c>
      <x:c r="C69" s="20" t="str">
        <x:v>Ngữ pháp</x:v>
      </x:c>
      <x:c r="D69" s="21"/>
      <x:c r="E69" s="20"/>
      <x:c r="F69" s="24"/>
      <x:c r="G69" s="24"/>
      <x:c r="H69" s="24"/>
      <x:c r="I69" s="30" t="str">
        <x:f>IF(OR(ISBLANK(F69),ISBLANK(G69)),"",IF(OR(NOT(ISNUMBER(F69)),NOT(ISNUMBER(G69))),"Lỗi nhập",IF(OR(G69&lt;=0,F69&lt;0,F69&gt;G69),"Lỗi nhập",F69/G69)))</x:f>
      </x:c>
      <x:c r="J69" s="21"/>
    </x:row>
    <x:row r="70" ht="25" customHeight="1">
      <x:c r="A70" s="28" t="n">
        <x:v>46359</x:v>
      </x:c>
      <x:c r="B70" s="20" t="str">
        <x:v>N3</x:v>
      </x:c>
      <x:c r="C70" s="20" t="str">
        <x:v>Đọc</x:v>
      </x:c>
      <x:c r="D70" s="21"/>
      <x:c r="E70" s="20"/>
      <x:c r="F70" s="24"/>
      <x:c r="G70" s="24"/>
      <x:c r="H70" s="24"/>
      <x:c r="I70" s="30" t="str">
        <x:f>IF(OR(ISBLANK(F70),ISBLANK(G70)),"",IF(OR(NOT(ISNUMBER(F70)),NOT(ISNUMBER(G70))),"Lỗi nhập",IF(OR(G70&lt;=0,F70&lt;0,F70&gt;G70),"Lỗi nhập",F70/G70)))</x:f>
      </x:c>
      <x:c r="J70" s="21"/>
    </x:row>
    <x:row r="71" ht="25" customHeight="1">
      <x:c r="A71" s="28" t="n">
        <x:v>46359</x:v>
      </x:c>
      <x:c r="B71" s="20" t="str">
        <x:v>N3</x:v>
      </x:c>
      <x:c r="C71" s="20" t="str">
        <x:v>Nghe</x:v>
      </x:c>
      <x:c r="D71" s="21"/>
      <x:c r="E71" s="20"/>
      <x:c r="F71" s="24"/>
      <x:c r="G71" s="24"/>
      <x:c r="H71" s="24"/>
      <x:c r="I71" s="30" t="str">
        <x:f>IF(OR(ISBLANK(F71),ISBLANK(G71)),"",IF(OR(NOT(ISNUMBER(F71)),NOT(ISNUMBER(G71))),"Lỗi nhập",IF(OR(G71&lt;=0,F71&lt;0,F71&gt;G71),"Lỗi nhập",F71/G71)))</x:f>
      </x:c>
      <x:c r="J71" s="21"/>
    </x:row>
  </x:sheetData>
  <x:conditionalFormatting sqref="I8:I71">
    <x:cfRule type="expression" dxfId="1" priority="1">
      <x:formula>AND(ISNUMBER(I8),I8&lt;0.6)</x:formula>
    </x:cfRule>
    <x:cfRule type="expression" dxfId="2" priority="2">
      <x:formula>AND(ISNUMBER(I8),I8&gt;=0.6,I8&lt;0.8)</x:formula>
    </x:cfRule>
    <x:cfRule type="expression" dxfId="3" priority="3">
      <x:formula>AND(ISNUMBER(I8),I8&gt;=0.8)</x:formula>
    </x:cfRule>
    <x:cfRule type="containsText" dxfId="4" priority="4" operator="containsText" text="Lỗi nhập"/>
  </x:conditionalFormatting>
  <x:dataValidations count="4">
    <x:dataValidation type="list" sqref="B8:B71">
      <x:formula1>"N4,N3,N2"</x:formula1>
    </x:dataValidation>
    <x:dataValidation type="list" sqref="C8:C71">
      <x:formula1>"Từ và kanji,Ngữ pháp,Đọc,Nghe"</x:formula1>
    </x:dataValidation>
    <x:dataValidation type="list" sqref="E8:E71">
      <x:formula1>"Mới,Ôn lại"</x:formula1>
    </x:dataValidation>
    <x:dataValidation type="whole" operator="between" sqref="F8:H71">
      <x:formula1>0</x:formula1>
      <x:formula2>1000</x:formula2>
    </x:dataValidation>
  </x:dataValidations>
  <x:pageMargins left="0.7" right="0.7" top="0.75" bottom="0.75" header="0.3" footer="0.3"/>
</x:worksheet>
</file>