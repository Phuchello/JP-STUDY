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phase3_practice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147eb23b5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àm nhanh" sheetId="5" r:id="Ra1d58390700649ce"/>
    <x:sheet xmlns:r="http://schemas.openxmlformats.org/officeDocument/2006/relationships" name="Nhật ký" sheetId="1" r:id="R5340e22e7fd544ae"/>
    <x:sheet xmlns:r="http://schemas.openxmlformats.org/officeDocument/2006/relationships" name="Đo năng lực" sheetId="2" r:id="R7fe0479290e84567"/>
    <x:sheet xmlns:r="http://schemas.openxmlformats.org/officeDocument/2006/relationships" name="Tổng hợp tuần" sheetId="3" r:id="R45a2a47c8c394ae7"/>
    <x:sheet xmlns:r="http://schemas.openxmlformats.org/officeDocument/2006/relationships" name="Chẩn đoán" sheetId="4" r:id="R544624832f9847c3"/>
    <x:sheet xmlns:ns0="http://schemas.openxmlformats.org/officeDocument/2006/relationships" name="Luyện tập" sheetId="6" ns0:id="rIdPhase3Practice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0.0"/>
    <x:numFmt numFmtId="202" formatCode="0"/>
    <x:numFmt numFmtId="203" formatCode="0%"/>
    <x:numFmt numFmtId="204" formatCode="0.0%"/>
  </x:numFmts>
  <x:fonts count="17">
    <x:font>
      <x:sz val="11"/>
      <x:name val="Carlito"/>
    </x:font>
    <x:font>
      <x:sz val="10"/>
      <x:color rgb="FF20282E"/>
      <x:name val="Arial"/>
    </x:font>
    <x:font>
      <x:b/>
      <x:sz val="10"/>
      <x:color rgb="FFFFFFFF"/>
      <x:name val="Arial"/>
    </x:font>
    <x:font>
      <x:b/>
      <x:sz val="14"/>
      <x:color rgb="FF000000"/>
      <x:name val="Arial"/>
    </x:font>
    <x:font>
      <x:i/>
      <x:sz val="10"/>
      <x:color rgb="FF5D6972"/>
      <x:name val="Arial"/>
    </x:font>
    <x:font>
      <x:b/>
      <x:sz val="11"/>
      <x:color rgb="FF314C62"/>
      <x:name val="Arial"/>
    </x:font>
    <x:font>
      <x:sz val="10"/>
      <x:color rgb="FF234E72"/>
      <x:name val="Arial"/>
    </x:font>
    <x:font>
      <x:b/>
      <x:sz val="12"/>
      <x:color rgb="FF20282E"/>
      <x:name val="Arial"/>
    </x:font>
    <x:font>
      <x:sz val="11"/>
      <x:color rgb="FF20282E"/>
      <x:name val="Arial"/>
    </x:font>
    <x:font>
      <x:b/>
      <x:sz val="16"/>
      <x:color rgb="FF20282E"/>
      <x:name val="Arial"/>
    </x:font>
    <x:font>
      <x:u val="single"/>
      <x:sz val="11"/>
      <x:color rgb="FF234E72"/>
      <x:name val="Arial"/>
    </x:font>
    <x:font>
      <x:b/>
      <x:sz val="12"/>
      <x:color rgb="FFFFFFFF"/>
      <x:name val="Arial"/>
    </x:font>
    <x:font>
      <x:sz val="10"/>
      <x:name val="Arial"/>
    </x:font>
    <x:font>
      <x:sz val="11"/>
      <x:name val="Carlito"/>
    </x:font>
    <x:font>
      <x:sz val="11"/>
      <x:color rgb="FF203747"/>
      <x:name val="Arial"/>
    </x:font>
    <x:font>
      <x:b/>
      <x:sz val="17"/>
      <x:color rgb="FF203747"/>
      <x:name val="Arial"/>
    </x:font>
    <x:font>
      <x:b/>
      <x:sz val="11"/>
      <x:color rgb="FFFFFFFF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314C62"/>
      </x:patternFill>
    </x:fill>
    <x:fill>
      <x:patternFill patternType="solid">
        <x:fgColor rgb="FFFFF7DE"/>
      </x:patternFill>
    </x:fill>
    <x:fill>
      <x:patternFill patternType="solid">
        <x:fgColor rgb="FFF1F5F8"/>
      </x:patternFill>
    </x:fill>
    <x:fill>
      <x:patternFill patternType="solid">
        <x:fgColor rgb="FF314C62"/>
      </x:patternFill>
    </x:fill>
    <x:fill>
      <x:patternFill patternType="solid">
        <x:fgColor rgb="FFFFF7DE"/>
      </x:patternFill>
    </x:fill>
    <x:fill>
      <x:patternFill patternType="solid">
        <x:fgColor rgb="FFF1F5F8"/>
      </x:patternFill>
    </x:fill>
    <x:fill>
      <x:patternFill patternType="solid">
        <x:fgColor rgb="FF314C62"/>
      </x:patternFill>
    </x:fill>
    <x:fill>
      <x:patternFill patternType="solid">
        <x:fgColor rgb="FFFFF7DE"/>
      </x:patternFill>
    </x:fill>
    <x:fill>
      <x:patternFill patternType="solid">
        <x:fgColor rgb="FFF1F5F8"/>
      </x:patternFill>
    </x:fill>
    <x:fill>
      <x:patternFill patternType="none"/>
    </x:fill>
    <x:fill>
      <x:patternFill patternType="gray125"/>
    </x:fill>
    <x:fill>
      <x:patternFill patternType="solid">
        <x:fgColor rgb="FFE6F0F1"/>
      </x:patternFill>
    </x:fill>
    <x:fill>
      <x:patternFill patternType="solid">
        <x:fgColor rgb="FF314C62"/>
      </x:patternFill>
    </x:fill>
    <x:fill>
      <x:patternFill patternType="solid">
        <x:fgColor rgb="FFFFF7DE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/>
      <x:right/>
      <x:top/>
      <x:bottom/>
      <x:diagonal/>
    </x:border>
  </x:borders>
  <x:cellStyleXfs count="2">
    <x:xf numFmtId="0" fontId="0" fillId="0" borderId="0"/>
    <x:xf numFmtId="0" fontId="13" fillId="11" borderId="6"/>
  </x:cellStyleXfs>
  <x:cellXfs count="8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202" fontId="1" fillId="7" borderId="0" xfId="0" applyNumberFormat="1" applyFont="1" applyFill="1" applyBorder="1" applyAlignment="1">
      <x:alignment horizontal="right" vertical="center"/>
    </x:xf>
    <x:xf numFmtId="203" fontId="1" fillId="7" borderId="0" xfId="0" applyNumberFormat="1" applyFont="1" applyFill="1" applyBorder="1" applyAlignment="1">
      <x:alignment horizontal="right" vertical="center"/>
    </x:xf>
    <x:xf numFmtId="200" fontId="1" fillId="6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horizontal="center" vertical="center"/>
    </x:xf>
    <x:xf numFmtId="0" fontId="8" fillId="9" borderId="5" xfId="0" applyNumberFormat="1" applyFont="1" applyFill="1" applyBorder="1" applyAlignment="1">
      <x:alignment horizontal="center" vertical="center"/>
    </x:xf>
    <x:xf numFmtId="200" fontId="8" fillId="9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200" fontId="0" fillId="0" borderId="0" xfId="0" applyNumberFormat="1" applyFont="1" applyFill="1" applyBorder="1"/>
    <x:xf numFmtId="0" fontId="12" fillId="0" borderId="0" xfId="0" applyNumberFormat="1" applyFont="1" applyFill="1" applyBorder="1"/>
    <x:xf numFmtId="200" fontId="12" fillId="9" borderId="0" xfId="0" applyNumberFormat="1" applyFont="1" applyFill="1" applyBorder="1"/>
    <x:xf numFmtId="200" fontId="12" fillId="0" borderId="0" xfId="0" applyNumberFormat="1" applyFont="1" applyFill="1" applyBorder="1"/>
    <x:xf numFmtId="0" fontId="13" fillId="11" borderId="6" xfId="1"/>
    <x:xf numFmtId="0" fontId="14" fillId="11" borderId="6" xfId="1" applyNumberFormat="1" applyFont="1" applyFill="1" applyBorder="1"/>
    <x:xf numFmtId="0" fontId="14" fillId="11" borderId="6" xfId="1" applyNumberFormat="1" applyFont="1" applyFill="1" applyBorder="1" applyAlignment="1">
      <x:alignment vertical="center"/>
    </x:xf>
    <x:xf numFmtId="0" fontId="15" fillId="11" borderId="6" xfId="1" applyNumberFormat="1" applyFont="1" applyFill="1" applyBorder="1" applyAlignment="1">
      <x:alignment vertical="center"/>
    </x:xf>
    <x:xf numFmtId="204" fontId="14" fillId="11" borderId="6" xfId="1" applyNumberFormat="1" applyFont="1" applyFill="1" applyBorder="1" applyAlignment="1">
      <x:alignment vertical="center"/>
    </x:xf>
    <x:xf numFmtId="0" fontId="14" fillId="13" borderId="6" xfId="1" applyNumberFormat="1" applyFont="1" applyFill="1" applyBorder="1" applyAlignment="1">
      <x:alignment vertical="center"/>
    </x:xf>
    <x:xf numFmtId="0" fontId="14" fillId="13" borderId="6" xfId="1" applyNumberFormat="1" applyFont="1" applyFill="1" applyBorder="1" applyAlignment="1">
      <x:alignment vertical="center" wrapText="1"/>
    </x:xf>
    <x:xf numFmtId="0" fontId="14" fillId="14" borderId="6" xfId="1" applyNumberFormat="1" applyFont="1" applyFill="1" applyBorder="1" applyAlignment="1">
      <x:alignment vertical="center"/>
    </x:xf>
    <x:xf numFmtId="0" fontId="16" fillId="14" borderId="6" xfId="1" applyNumberFormat="1" applyFont="1" applyFill="1" applyBorder="1" applyAlignment="1">
      <x:alignment vertical="center"/>
    </x:xf>
    <x:xf numFmtId="0" fontId="16" fillId="14" borderId="6" xfId="1" applyNumberFormat="1" applyFont="1" applyFill="1" applyBorder="1" applyAlignment="1">
      <x:alignment vertical="center" wrapText="1"/>
    </x:xf>
    <x:xf numFmtId="0" fontId="14" fillId="15" borderId="6" xfId="1" applyNumberFormat="1" applyFont="1" applyFill="1" applyBorder="1" applyAlignment="1">
      <x:alignment vertical="center"/>
    </x:xf>
    <x:xf numFmtId="0" fontId="14" fillId="11" borderId="6" xfId="1" applyNumberFormat="1" applyFont="1" applyFill="1" applyBorder="1" applyAlignment="1">
      <x:alignment vertical="center" wrapText="1"/>
    </x:xf>
    <x:xf numFmtId="204" fontId="14" fillId="11" borderId="6" xfId="1" applyNumberFormat="1" applyFont="1" applyFill="1" applyBorder="1" applyAlignment="1">
      <x:alignment vertical="center" wrapText="1"/>
    </x:xf>
  </x:cellXfs>
  <x:cellStyles count="1">
    <x:cellStyle name="Normal" xfId="0"/>
  </x:cellStyles>
  <x:dxfs count="23">
    <x:dxf>
      <x:font>
        <x:color rgb="FF9C2F2F"/>
      </x:font>
      <x:fill>
        <x:patternFill>
          <x:bgColor rgb="FFFCE8E6"/>
        </x:patternFill>
      </x:fill>
    </x:dxf>
    <x:dxf>
      <x:font>
        <x:color rgb="FF9C2F2F"/>
      </x:font>
      <x:fill>
        <x:patternFill>
          <x:bgColor rgb="FFFCE8E6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E5EFF7"/>
        </x:patternFill>
      </x:fill>
    </x:dxf>
    <x:dxf>
      <x:font>
        <x:b/>
        <x:color rgb="FF9C2F2F"/>
      </x:font>
      <x:fill>
        <x:patternFill>
          <x:bgColor rgb="FFFCE8E6"/>
        </x:patternFill>
      </x:fill>
    </x:dxf>
    <x:dxf>
      <x:font>
        <x:color rgb="FF9C2F2F"/>
      </x:font>
      <x:fill>
        <x:patternFill>
          <x:bgColor rgb="FFFCE8E6"/>
        </x:patternFill>
      </x:fill>
    </x:dxf>
    <x:dxf>
      <x:font>
        <x:color rgb="FF9C2F2F"/>
      </x:font>
      <x:fill>
        <x:patternFill>
          <x:bgColor rgb="FFFCE8E6"/>
        </x:patternFill>
      </x:fill>
    </x:dxf>
    <x:dxf>
      <x:font>
        <x:color rgb="FF9C2F2F"/>
      </x:font>
      <x:fill>
        <x:patternFill>
          <x:bgColor rgb="FFFCE8E6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E5EFF7"/>
        </x:patternFill>
      </x:fill>
    </x:dxf>
    <x:dxf>
      <x:font>
        <x:color rgb="FF9C2F2F"/>
      </x:font>
      <x:fill>
        <x:patternFill>
          <x:bgColor rgb="FFFCE8E6"/>
        </x:patternFill>
      </x:fill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38167b567324bb7"/><Relationship Type="http://schemas.openxmlformats.org/officeDocument/2006/relationships/theme" Target="/xl/theme/theme1.xml" Id="Rf563ad9df4884d90"/><Relationship Type="http://schemas.openxmlformats.org/officeDocument/2006/relationships/sharedStrings" Target="/xl/sharedStrings.xml" Id="R0dda799c41534e5b"/><Relationship Type="http://schemas.openxmlformats.org/officeDocument/2006/relationships/worksheet" Target="/xl/worksheets/sheet1.xml" Id="R5340e22e7fd544ae"/><Relationship Type="http://schemas.openxmlformats.org/officeDocument/2006/relationships/worksheet" Target="/xl/worksheets/sheet2.xml" Id="R7fe0479290e84567"/><Relationship Type="http://schemas.openxmlformats.org/officeDocument/2006/relationships/worksheet" Target="/xl/worksheets/sheet3.xml" Id="R45a2a47c8c394ae7"/><Relationship Type="http://schemas.openxmlformats.org/officeDocument/2006/relationships/worksheet" Target="/xl/worksheets/sheet4.xml" Id="R544624832f9847c3"/><Relationship Type="http://schemas.openxmlformats.org/officeDocument/2006/relationships/worksheet" Target="/xl/worksheets/sheet5.xml" Id="Ra1d58390700649ce"/><Relationship Id="rIdPhase3Practice" Type="http://schemas.openxmlformats.org/officeDocument/2006/relationships/worksheet" Target="worksheets/phase3_practice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?xml version='1.0' encoding='UTF-8' standalone='yes'?>
<Relationships xmlns="http://schemas.openxmlformats.org/package/2006/relationships"><Relationship Type="http://schemas.openxmlformats.org/officeDocument/2006/relationships/hyperlink" Target="https://www.jlpt.jp/samples/sample2018/pdf/N4G.pdf" TargetMode="External" Id="R0016fb59e9df4c86"/><Relationship Type="http://schemas.openxmlformats.org/officeDocument/2006/relationships/hyperlink" Target="https://www.jlpt.jp/samples/sample2018/pdf/N4G.pdf" TargetMode="External" Id="R8bbc8000b5954b33"/><Relationship Type="http://schemas.openxmlformats.org/officeDocument/2006/relationships/hyperlink" Target="https://www.jlpt.jp/samples/sample2018/pdf/N4G.pdf" TargetMode="External" Id="Radf0452c3b674d71"/><Relationship Type="http://schemas.openxmlformats.org/officeDocument/2006/relationships/hyperlink" Target="https://www.jlpt.jp/samples/sample2018/pdf/N4G.pdf" TargetMode="External" Id="R27c358897299416f"/><Relationship Type="http://schemas.openxmlformats.org/officeDocument/2006/relationships/hyperlink" Target="https://www.jlpt.jp/samples/sample2018/pdf/N4G.pdf" TargetMode="External" Id="R6df1b0ee647e4cf5"/><Relationship Type="http://schemas.openxmlformats.org/officeDocument/2006/relationships/hyperlink" Target="https://www.jlpt.jp/samples/sample2018/pdf/N4G.pdf" TargetMode="External" Id="Rfc05776d67d34ec6"/><Relationship Type="http://schemas.openxmlformats.org/officeDocument/2006/relationships/hyperlink" Target="https://www.jlpt.jp/samples/sample2018/pdf/N4G.pdf" TargetMode="External" Id="R92e2a6c85fb6400d"/><Relationship Type="http://schemas.openxmlformats.org/officeDocument/2006/relationships/hyperlink" Target="https://www.jlpt.jp/samples/sample2018/pdf/N4G.pdf" TargetMode="External" Id="R9a4886c2e1834fcd"/><Relationship Type="http://schemas.openxmlformats.org/officeDocument/2006/relationships/hyperlink" Target="https://www.jlpt.jp/samples/sample2018/pdf/N4G.pdf" TargetMode="External" Id="R3db0e1da9bf94786"/><Relationship Type="http://schemas.openxmlformats.org/officeDocument/2006/relationships/hyperlink" Target="https://www.jlpt.jp/samples/sample2018/pdf/N4G.pdf" TargetMode="External" Id="Rf32c73aa36db478c"/><Relationship Type="http://schemas.openxmlformats.org/officeDocument/2006/relationships/hyperlink" Target="https://www.jlpt.jp/samples/sample2018/pdf/N4G.pdf" TargetMode="External" Id="Rddbf0a25f8c54eae"/><Relationship Type="http://schemas.openxmlformats.org/officeDocument/2006/relationships/hyperlink" Target="https://www.jlpt.jp/samples/sample2018/pdf/N4G.pdf" TargetMode="External" Id="Rd7580f7d06784376"/><Relationship Type="http://schemas.openxmlformats.org/officeDocument/2006/relationships/hyperlink" Target="https://www.jlpt.jp/samples/sample2018/pdf/N4G.pdf" TargetMode="External" Id="Rcb041febed17416c"/><Relationship Type="http://schemas.openxmlformats.org/officeDocument/2006/relationships/hyperlink" Target="https://www.jlpt.jp/samples/sample2018/pdf/N4V.pdf" TargetMode="External" Id="Rad25322a23924d98"/><Relationship Type="http://schemas.openxmlformats.org/officeDocument/2006/relationships/hyperlink" Target="https://www.jlpt.jp/samples/sample2018/pdf/N4V.pdf" TargetMode="External" Id="R5e1250ae06884e62"/><Relationship Type="http://schemas.openxmlformats.org/officeDocument/2006/relationships/hyperlink" Target="https://www.jlpt.jp/samples/sample2018/pdf/N4V.pdf" TargetMode="External" Id="R689bad4b13ab499e"/><Relationship Type="http://schemas.openxmlformats.org/officeDocument/2006/relationships/hyperlink" Target="https://www.jlpt.jp/samples/sample2018/pdf/N4V.pdf" TargetMode="External" Id="R52b28dc0339142bd"/><Relationship Type="http://schemas.openxmlformats.org/officeDocument/2006/relationships/hyperlink" Target="https://www.jlpt.jp/samples/sample2018/pdf/N4V.pdf" TargetMode="External" Id="Rc61cf47061524224"/><Relationship Type="http://schemas.openxmlformats.org/officeDocument/2006/relationships/hyperlink" Target="https://www.jlpt.jp/samples/sample2018/pdf/N4V.pdf" TargetMode="External" Id="Rae3ac7bc5e93483c"/><Relationship Type="http://schemas.openxmlformats.org/officeDocument/2006/relationships/hyperlink" Target="https://www.jlpt.jp/samples/sample2018/pdf/N4V.pdf" TargetMode="External" Id="R67fd196205c444a2"/><Relationship Type="http://schemas.openxmlformats.org/officeDocument/2006/relationships/hyperlink" Target="https://www.jlpt.jp/samples/sample2018/pdf/N4V.pdf" TargetMode="External" Id="R17df00d511f64bbb"/><Relationship Type="http://schemas.openxmlformats.org/officeDocument/2006/relationships/hyperlink" Target="https://www.jlpt.jp/samples/sample2018/pdf/N4V.pdf" TargetMode="External" Id="Re6057a2d3b81496f"/><Relationship Type="http://schemas.openxmlformats.org/officeDocument/2006/relationships/hyperlink" Target="https://www.jlpt.jp/samples/sample2018/pdf/N4V.pdf" TargetMode="External" Id="R3147a01026194171"/><Relationship Type="http://schemas.openxmlformats.org/officeDocument/2006/relationships/hyperlink" Target="https://www.jlpt.jp/samples/sample2018/pdf/N4R.pdf" TargetMode="External" Id="R37a23540a8ab4a4f"/><Relationship Type="http://schemas.openxmlformats.org/officeDocument/2006/relationships/hyperlink" Target="https://www.jlpt.jp/samples/sample2018/pdf/N4R.pdf" TargetMode="External" Id="Ra26c55edd066430b"/><Relationship Type="http://schemas.openxmlformats.org/officeDocument/2006/relationships/hyperlink" Target="https://www.jlpt.jp/samples/sample2018/pdf/N4R.pdf" TargetMode="External" Id="R24ffd329e925420a"/><Relationship Type="http://schemas.openxmlformats.org/officeDocument/2006/relationships/hyperlink" Target="https://www.jlpt.jp/samples/sample2018/pdf/N4R.pdf" TargetMode="External" Id="R52c566b1e9ce4715"/><Relationship Type="http://schemas.openxmlformats.org/officeDocument/2006/relationships/hyperlink" Target="https://www.jlpt.jp/samples/sample2018/pdf/N4R.pdf" TargetMode="External" Id="R5e2842018f834ad8"/><Relationship Type="http://schemas.openxmlformats.org/officeDocument/2006/relationships/hyperlink" Target="https://www.jlpt.jp/samples/sample2018/pdf/N4L.pdf" TargetMode="External" Id="R39baab37ffcf444c"/><Relationship Type="http://schemas.openxmlformats.org/officeDocument/2006/relationships/hyperlink" Target="https://www.jlpt.jp/samples/sample2018/pdf/N4L.pdf" TargetMode="External" Id="Rce19f5e9919d45a2"/><Relationship Type="http://schemas.openxmlformats.org/officeDocument/2006/relationships/hyperlink" Target="https://www.jlpt.jp/samples/sample2018/pdf/N4L.pdf" TargetMode="External" Id="R267c778a78954d44"/><Relationship Type="http://schemas.openxmlformats.org/officeDocument/2006/relationships/hyperlink" Target="https://www.jlpt.jp/samples/sample2018/pdf/N4L.pdf" TargetMode="External" Id="R0337694fa8e14fbc"/><Relationship Type="http://schemas.openxmlformats.org/officeDocument/2006/relationships/hyperlink" Target="https://www.jlpt.jp/samples/sample2018/pdf/N4L.pdf" TargetMode="External" Id="R89d307bb40f3489e"/><Relationship Type="http://schemas.openxmlformats.org/officeDocument/2006/relationships/hyperlink" Target="https://www.jlpt.jp/samples/sample2018/pdf/N4L.pdf" TargetMode="External" Id="R7e8512a20f3f4c59"/><Relationship Type="http://schemas.openxmlformats.org/officeDocument/2006/relationships/hyperlink" Target="https://www.jlpt.jp/samples/sample2018/pdf/N4L.pdf" TargetMode="External" Id="R3fa6b7f829344336"/><Relationship Type="http://schemas.openxmlformats.org/officeDocument/2006/relationships/hyperlink" Target="https://www.jlpt.jp/samples/sample2018/pdf/N4L.pdf" TargetMode="External" Id="R15b9fff88f2d4387"/><Relationship Type="http://schemas.openxmlformats.org/officeDocument/2006/relationships/hyperlink" Target="https://www.jlpt.jp/samples/sample2018/pdf/N3G.pdf" TargetMode="External" Id="R433834c67d384277"/><Relationship Type="http://schemas.openxmlformats.org/officeDocument/2006/relationships/hyperlink" Target="https://www.jlpt.jp/samples/sample2018/pdf/N3G.pdf" TargetMode="External" Id="R74c36432d9474c37"/><Relationship Type="http://schemas.openxmlformats.org/officeDocument/2006/relationships/hyperlink" Target="https://www.jlpt.jp/samples/sample2018/pdf/N3G.pdf" TargetMode="External" Id="R314cf6f2a8ec4fff"/><Relationship Type="http://schemas.openxmlformats.org/officeDocument/2006/relationships/hyperlink" Target="https://www.jlpt.jp/samples/sample2018/pdf/N3G.pdf" TargetMode="External" Id="Rbf6d73a9f11046aa"/><Relationship Type="http://schemas.openxmlformats.org/officeDocument/2006/relationships/hyperlink" Target="https://www.jlpt.jp/samples/sample2018/pdf/N3G.pdf" TargetMode="External" Id="R0342c26393c2494e"/><Relationship Type="http://schemas.openxmlformats.org/officeDocument/2006/relationships/hyperlink" Target="https://www.jlpt.jp/samples/sample2018/pdf/N3G.pdf" TargetMode="External" Id="R7fe02125b2644a7a"/><Relationship Type="http://schemas.openxmlformats.org/officeDocument/2006/relationships/hyperlink" Target="https://www.jlpt.jp/samples/sample2018/pdf/N3V.pdf" TargetMode="External" Id="Rc6a302681bf64b41"/><Relationship Type="http://schemas.openxmlformats.org/officeDocument/2006/relationships/hyperlink" Target="https://www.jlpt.jp/samples/sample2018/pdf/N3V.pdf" TargetMode="External" Id="R1bd3b6eb609547e9"/><Relationship Type="http://schemas.openxmlformats.org/officeDocument/2006/relationships/hyperlink" Target="https://www.jlpt.jp/samples/sample2018/pdf/N3V.pdf" TargetMode="External" Id="Rda3888bddb8e4fa7"/><Relationship Type="http://schemas.openxmlformats.org/officeDocument/2006/relationships/hyperlink" Target="https://www.jlpt.jp/samples/sample2018/pdf/N3V.pdf" TargetMode="External" Id="R6feee34a86024fe7"/><Relationship Type="http://schemas.openxmlformats.org/officeDocument/2006/relationships/hyperlink" Target="https://www.jlpt.jp/samples/sample2018/pdf/N3V.pdf" TargetMode="External" Id="R4383f9ff2e494cbc"/><Relationship Type="http://schemas.openxmlformats.org/officeDocument/2006/relationships/hyperlink" Target="https://www.jlpt.jp/samples/sample2018/pdf/N3V.pdf" TargetMode="External" Id="Rd291500981e3498f"/><Relationship Type="http://schemas.openxmlformats.org/officeDocument/2006/relationships/hyperlink" Target="https://www.jlpt.jp/samples/sample2018/pdf/N3V.pdf" TargetMode="External" Id="R87af69421fde4c1d"/><Relationship Type="http://schemas.openxmlformats.org/officeDocument/2006/relationships/hyperlink" Target="https://www.jlpt.jp/samples/sample2018/pdf/N3V.pdf" TargetMode="External" Id="R2e51912da39c487d"/><Relationship Type="http://schemas.openxmlformats.org/officeDocument/2006/relationships/hyperlink" Target="https://www.jlpt.jp/samples/sample2018/pdf/N3V.pdf" TargetMode="External" Id="Recd21c0aea2347db"/><Relationship Type="http://schemas.openxmlformats.org/officeDocument/2006/relationships/hyperlink" Target="https://www.jlpt.jp/samples/sample2018/pdf/N3V.pdf" TargetMode="External" Id="R34d89bbce0034ed5"/><Relationship Type="http://schemas.openxmlformats.org/officeDocument/2006/relationships/hyperlink" Target="https://www.jlpt.jp/samples/sample2018/pdf/N3R.pdf" TargetMode="External" Id="R8bedc4e8e1d64510"/><Relationship Type="http://schemas.openxmlformats.org/officeDocument/2006/relationships/hyperlink" Target="https://www.jlpt.jp/samples/sample2018/pdf/N3R.pdf" TargetMode="External" Id="R9db324f53bf84e56"/><Relationship Type="http://schemas.openxmlformats.org/officeDocument/2006/relationships/hyperlink" Target="https://www.jlpt.jp/samples/sample2018/pdf/N3R.pdf" TargetMode="External" Id="Ra05d05f0730d44ce"/><Relationship Type="http://schemas.openxmlformats.org/officeDocument/2006/relationships/hyperlink" Target="https://www.jlpt.jp/samples/sample2018/pdf/N3R.pdf" TargetMode="External" Id="R5aa51d0af7ba4f42"/><Relationship Type="http://schemas.openxmlformats.org/officeDocument/2006/relationships/hyperlink" Target="https://www.jlpt.jp/samples/sample2018/pdf/N3L.pdf" TargetMode="External" Id="Ra05c153153dc49f6"/><Relationship Type="http://schemas.openxmlformats.org/officeDocument/2006/relationships/hyperlink" Target="https://www.jlpt.jp/samples/sample2018/pdf/N3L.pdf" TargetMode="External" Id="R8c1ee45965184128"/><Relationship Type="http://schemas.openxmlformats.org/officeDocument/2006/relationships/hyperlink" Target="https://www.jlpt.jp/samples/sample2018/pdf/N3L.pdf" TargetMode="External" Id="R3db9cd08897d4a57"/><Relationship Type="http://schemas.openxmlformats.org/officeDocument/2006/relationships/hyperlink" Target="https://www.jlpt.jp/samples/sample2018/pdf/N3L.pdf" TargetMode="External" Id="R0187070310724098"/><Relationship Type="http://schemas.openxmlformats.org/officeDocument/2006/relationships/hyperlink" Target="https://www.jlpt.jp/samples/sample2018/pdf/N3L.pdf" TargetMode="External" Id="R00aa1d2023f24094"/><Relationship Type="http://schemas.openxmlformats.org/officeDocument/2006/relationships/hyperlink" Target="https://www.jlpt.jp/samples/sample2018/pdf/N3L.pdf" TargetMode="External" Id="R31d6951fcd6c46bb"/><Relationship Type="http://schemas.openxmlformats.org/officeDocument/2006/relationships/hyperlink" Target="https://www.jlpt.jp/samples/sample2018/pdf/N3L.pdf" TargetMode="External" Id="R3335b34c174a4aa0"/><Relationship Type="http://schemas.openxmlformats.org/officeDocument/2006/relationships/hyperlink" Target="https://www.jlpt.jp/samples/sample2018/pdf/N3L.pdf" TargetMode="External" Id="R808af98e14684860"/><Relationship Type="http://schemas.openxmlformats.org/officeDocument/2006/relationships/hyperlink" Target="https://www.jlpt.jp/samples/sample2018/pdf/N3L.pdf" TargetMode="External" Id="Re7cc38aef9ab4981"/><Relationship Type="http://schemas.openxmlformats.org/officeDocument/2006/relationships/hyperlink" Target="https://www.jlpt.jp/samples/sample2018/pdf/N3L.pdf" TargetMode="External" Id="R106c497c2bca464d"/><Relationship Id="rIdV31" Type="http://schemas.openxmlformats.org/officeDocument/2006/relationships/hyperlink" Target="https://www.jlpt.jp/samples/sample2018/pdf/N4G.pdf" TargetMode="External"/><Relationship Id="rIdV32" Type="http://schemas.openxmlformats.org/officeDocument/2006/relationships/hyperlink" Target="https://www.jlpt.jp/samples/sample2018/pdf/N4G.pdf" TargetMode="External"/><Relationship Id="rIdV33" Type="http://schemas.openxmlformats.org/officeDocument/2006/relationships/hyperlink" Target="https://www.jlpt.jp/samples/sample2018/pdf/N4G.pdf" TargetMode="External"/><Relationship Id="rIdV34" Type="http://schemas.openxmlformats.org/officeDocument/2006/relationships/hyperlink" Target="https://www.jlpt.jp/samples/sample2018/pdf/N4G.pdf" TargetMode="External"/><Relationship Id="rIdV35" Type="http://schemas.openxmlformats.org/officeDocument/2006/relationships/hyperlink" Target="https://www.jlpt.jp/samples/sample2018/pdf/N4G.pdf" TargetMode="External"/><Relationship Id="rIdV36" Type="http://schemas.openxmlformats.org/officeDocument/2006/relationships/hyperlink" Target="https://www.jlpt.jp/samples/sample2018/pdf/N4G.pdf" TargetMode="External"/><Relationship Id="rIdV37" Type="http://schemas.openxmlformats.org/officeDocument/2006/relationships/hyperlink" Target="https://www.jlpt.jp/samples/sample2018/pdf/N4G.pdf" TargetMode="External"/><Relationship Id="rIdV38" Type="http://schemas.openxmlformats.org/officeDocument/2006/relationships/hyperlink" Target="https://www.jlpt.jp/samples/sample2018/pdf/N4G.pdf" TargetMode="External"/><Relationship Id="rIdV39" Type="http://schemas.openxmlformats.org/officeDocument/2006/relationships/hyperlink" Target="https://www.jlpt.jp/samples/sample2018/pdf/N4G.pdf" TargetMode="External"/><Relationship Id="rIdV310" Type="http://schemas.openxmlformats.org/officeDocument/2006/relationships/hyperlink" Target="https://www.jlpt.jp/samples/sample2018/pdf/N4G.pdf" TargetMode="External"/><Relationship Id="rIdV311" Type="http://schemas.openxmlformats.org/officeDocument/2006/relationships/hyperlink" Target="https://www.jlpt.jp/samples/sample2018/pdf/N4G.pdf" TargetMode="External"/><Relationship Id="rIdV312" Type="http://schemas.openxmlformats.org/officeDocument/2006/relationships/hyperlink" Target="https://www.jlpt.jp/samples/sample2018/pdf/N4G.pdf" TargetMode="External"/><Relationship Id="rIdV313" Type="http://schemas.openxmlformats.org/officeDocument/2006/relationships/hyperlink" Target="https://www.jlpt.jp/samples/sample2018/pdf/N4G.pdf" TargetMode="External"/><Relationship Id="rIdV314" Type="http://schemas.openxmlformats.org/officeDocument/2006/relationships/hyperlink" Target="https://www.jlpt.jp/samples/sample2018/pdf/N4V.pdf" TargetMode="External"/><Relationship Id="rIdV315" Type="http://schemas.openxmlformats.org/officeDocument/2006/relationships/hyperlink" Target="https://www.jlpt.jp/samples/sample2018/pdf/N4V.pdf" TargetMode="External"/><Relationship Id="rIdV316" Type="http://schemas.openxmlformats.org/officeDocument/2006/relationships/hyperlink" Target="https://www.jlpt.jp/samples/sample2018/pdf/N4V.pdf" TargetMode="External"/><Relationship Id="rIdV317" Type="http://schemas.openxmlformats.org/officeDocument/2006/relationships/hyperlink" Target="https://www.jlpt.jp/samples/sample2018/pdf/N4V.pdf" TargetMode="External"/><Relationship Id="rIdV318" Type="http://schemas.openxmlformats.org/officeDocument/2006/relationships/hyperlink" Target="https://www.jlpt.jp/samples/sample2018/pdf/N4V.pdf" TargetMode="External"/><Relationship Id="rIdV319" Type="http://schemas.openxmlformats.org/officeDocument/2006/relationships/hyperlink" Target="https://www.jlpt.jp/samples/sample2018/pdf/N4V.pdf" TargetMode="External"/><Relationship Id="rIdV320" Type="http://schemas.openxmlformats.org/officeDocument/2006/relationships/hyperlink" Target="https://www.jlpt.jp/samples/sample2018/pdf/N4V.pdf" TargetMode="External"/><Relationship Id="rIdV321" Type="http://schemas.openxmlformats.org/officeDocument/2006/relationships/hyperlink" Target="https://www.jlpt.jp/samples/sample2018/pdf/N4V.pdf" TargetMode="External"/><Relationship Id="rIdV322" Type="http://schemas.openxmlformats.org/officeDocument/2006/relationships/hyperlink" Target="https://www.jlpt.jp/samples/sample2018/pdf/N4V.pdf" TargetMode="External"/><Relationship Id="rIdV323" Type="http://schemas.openxmlformats.org/officeDocument/2006/relationships/hyperlink" Target="https://www.jlpt.jp/samples/sample2018/pdf/N4V.pdf" TargetMode="External"/><Relationship Id="rIdV324" Type="http://schemas.openxmlformats.org/officeDocument/2006/relationships/hyperlink" Target="https://www.jlpt.jp/samples/sample2018/pdf/N4R.pdf" TargetMode="External"/><Relationship Id="rIdV325" Type="http://schemas.openxmlformats.org/officeDocument/2006/relationships/hyperlink" Target="https://www.jlpt.jp/samples/sample2018/pdf/N4R.pdf" TargetMode="External"/><Relationship Id="rIdV326" Type="http://schemas.openxmlformats.org/officeDocument/2006/relationships/hyperlink" Target="https://www.jlpt.jp/samples/sample2018/pdf/N4R.pdf" TargetMode="External"/><Relationship Id="rIdV327" Type="http://schemas.openxmlformats.org/officeDocument/2006/relationships/hyperlink" Target="https://www.jlpt.jp/samples/sample2018/pdf/N4R.pdf" TargetMode="External"/><Relationship Id="rIdV328" Type="http://schemas.openxmlformats.org/officeDocument/2006/relationships/hyperlink" Target="https://www.jlpt.jp/samples/sample2018/pdf/N4R.pdf" TargetMode="External"/><Relationship Id="rIdV329" Type="http://schemas.openxmlformats.org/officeDocument/2006/relationships/hyperlink" Target="https://www.jlpt.jp/samples/sample2018/pdf/N4L.pdf" TargetMode="External"/><Relationship Id="rIdV330" Type="http://schemas.openxmlformats.org/officeDocument/2006/relationships/hyperlink" Target="https://www.jlpt.jp/samples/sample2018/pdf/N4L.pdf" TargetMode="External"/><Relationship Id="rIdV331" Type="http://schemas.openxmlformats.org/officeDocument/2006/relationships/hyperlink" Target="https://www.jlpt.jp/samples/sample2018/pdf/N4L.pdf" TargetMode="External"/><Relationship Id="rIdV332" Type="http://schemas.openxmlformats.org/officeDocument/2006/relationships/hyperlink" Target="https://www.jlpt.jp/samples/sample2018/pdf/N4L.pdf" TargetMode="External"/><Relationship Id="rIdV333" Type="http://schemas.openxmlformats.org/officeDocument/2006/relationships/hyperlink" Target="https://www.jlpt.jp/samples/sample2018/pdf/N4L.pdf" TargetMode="External"/><Relationship Id="rIdV334" Type="http://schemas.openxmlformats.org/officeDocument/2006/relationships/hyperlink" Target="https://www.jlpt.jp/samples/sample2018/pdf/N4L.pdf" TargetMode="External"/><Relationship Id="rIdV335" Type="http://schemas.openxmlformats.org/officeDocument/2006/relationships/hyperlink" Target="https://www.jlpt.jp/samples/sample2018/pdf/N4L.pdf" TargetMode="External"/><Relationship Id="rIdV336" Type="http://schemas.openxmlformats.org/officeDocument/2006/relationships/hyperlink" Target="https://www.jlpt.jp/samples/sample2018/pdf/N4L.pdf" TargetMode="External"/><Relationship Id="rIdV337" Type="http://schemas.openxmlformats.org/officeDocument/2006/relationships/hyperlink" Target="https://www.jlpt.jp/samples/sample2018/pdf/N3G.pdf" TargetMode="External"/><Relationship Id="rIdV338" Type="http://schemas.openxmlformats.org/officeDocument/2006/relationships/hyperlink" Target="https://www.jlpt.jp/samples/sample2018/pdf/N3G.pdf" TargetMode="External"/><Relationship Id="rIdV339" Type="http://schemas.openxmlformats.org/officeDocument/2006/relationships/hyperlink" Target="https://www.jlpt.jp/samples/sample2018/pdf/N3G.pdf" TargetMode="External"/><Relationship Id="rIdV340" Type="http://schemas.openxmlformats.org/officeDocument/2006/relationships/hyperlink" Target="https://www.jlpt.jp/samples/sample2018/pdf/N3G.pdf" TargetMode="External"/><Relationship Id="rIdV341" Type="http://schemas.openxmlformats.org/officeDocument/2006/relationships/hyperlink" Target="https://www.jlpt.jp/samples/sample2018/pdf/N3G.pdf" TargetMode="External"/><Relationship Id="rIdV342" Type="http://schemas.openxmlformats.org/officeDocument/2006/relationships/hyperlink" Target="https://www.jlpt.jp/samples/sample2018/pdf/N3G.pdf" TargetMode="External"/><Relationship Id="rIdV343" Type="http://schemas.openxmlformats.org/officeDocument/2006/relationships/hyperlink" Target="https://www.jlpt.jp/samples/sample2018/pdf/N3V.pdf" TargetMode="External"/><Relationship Id="rIdV344" Type="http://schemas.openxmlformats.org/officeDocument/2006/relationships/hyperlink" Target="https://www.jlpt.jp/samples/sample2018/pdf/N3V.pdf" TargetMode="External"/><Relationship Id="rIdV345" Type="http://schemas.openxmlformats.org/officeDocument/2006/relationships/hyperlink" Target="https://www.jlpt.jp/samples/sample2018/pdf/N3V.pdf" TargetMode="External"/><Relationship Id="rIdV346" Type="http://schemas.openxmlformats.org/officeDocument/2006/relationships/hyperlink" Target="https://www.jlpt.jp/samples/sample2018/pdf/N3V.pdf" TargetMode="External"/><Relationship Id="rIdV347" Type="http://schemas.openxmlformats.org/officeDocument/2006/relationships/hyperlink" Target="https://www.jlpt.jp/samples/sample2018/pdf/N3V.pdf" TargetMode="External"/><Relationship Id="rIdV348" Type="http://schemas.openxmlformats.org/officeDocument/2006/relationships/hyperlink" Target="https://www.jlpt.jp/samples/sample2018/pdf/N3V.pdf" TargetMode="External"/><Relationship Id="rIdV349" Type="http://schemas.openxmlformats.org/officeDocument/2006/relationships/hyperlink" Target="https://www.jlpt.jp/samples/sample2018/pdf/N3V.pdf" TargetMode="External"/><Relationship Id="rIdV350" Type="http://schemas.openxmlformats.org/officeDocument/2006/relationships/hyperlink" Target="https://www.jlpt.jp/samples/sample2018/pdf/N3V.pdf" TargetMode="External"/><Relationship Id="rIdV351" Type="http://schemas.openxmlformats.org/officeDocument/2006/relationships/hyperlink" Target="https://www.jlpt.jp/samples/sample2018/pdf/N3V.pdf" TargetMode="External"/><Relationship Id="rIdV352" Type="http://schemas.openxmlformats.org/officeDocument/2006/relationships/hyperlink" Target="https://www.jlpt.jp/samples/sample2018/pdf/N3V.pdf" TargetMode="External"/><Relationship Id="rIdV353" Type="http://schemas.openxmlformats.org/officeDocument/2006/relationships/hyperlink" Target="https://www.jlpt.jp/samples/sample2018/pdf/N3R.pdf" TargetMode="External"/><Relationship Id="rIdV354" Type="http://schemas.openxmlformats.org/officeDocument/2006/relationships/hyperlink" Target="https://www.jlpt.jp/samples/sample2018/pdf/N3R.pdf" TargetMode="External"/><Relationship Id="rIdV355" Type="http://schemas.openxmlformats.org/officeDocument/2006/relationships/hyperlink" Target="https://www.jlpt.jp/samples/sample2018/pdf/N3R.pdf" TargetMode="External"/><Relationship Id="rIdV356" Type="http://schemas.openxmlformats.org/officeDocument/2006/relationships/hyperlink" Target="https://www.jlpt.jp/samples/sample2018/pdf/N3R.pdf" TargetMode="External"/><Relationship Id="rIdV357" Type="http://schemas.openxmlformats.org/officeDocument/2006/relationships/hyperlink" Target="https://www.jlpt.jp/samples/sample2018/pdf/N3L.pdf" TargetMode="External"/><Relationship Id="rIdV358" Type="http://schemas.openxmlformats.org/officeDocument/2006/relationships/hyperlink" Target="https://www.jlpt.jp/samples/sample2018/pdf/N3L.pdf" TargetMode="External"/><Relationship Id="rIdV359" Type="http://schemas.openxmlformats.org/officeDocument/2006/relationships/hyperlink" Target="https://www.jlpt.jp/samples/sample2018/pdf/N3L.pdf" TargetMode="External"/><Relationship Id="rIdV360" Type="http://schemas.openxmlformats.org/officeDocument/2006/relationships/hyperlink" Target="https://www.jlpt.jp/samples/sample2018/pdf/N3L.pdf" TargetMode="External"/><Relationship Id="rIdV361" Type="http://schemas.openxmlformats.org/officeDocument/2006/relationships/hyperlink" Target="https://www.jlpt.jp/samples/sample2018/pdf/N3L.pdf" TargetMode="External"/><Relationship Id="rIdV362" Type="http://schemas.openxmlformats.org/officeDocument/2006/relationships/hyperlink" Target="https://www.jlpt.jp/samples/sample2018/pdf/N3L.pdf" TargetMode="External"/><Relationship Id="rIdV363" Type="http://schemas.openxmlformats.org/officeDocument/2006/relationships/hyperlink" Target="https://www.jlpt.jp/samples/sample2018/pdf/N3L.pdf" TargetMode="External"/><Relationship Id="rIdV364" Type="http://schemas.openxmlformats.org/officeDocument/2006/relationships/hyperlink" Target="https://www.jlpt.jp/samples/sample2018/pdf/N3L.pdf" TargetMode="External"/><Relationship Id="rIdV365" Type="http://schemas.openxmlformats.org/officeDocument/2006/relationships/hyperlink" Target="https://www.jlpt.jp/samples/sample2018/pdf/N3L.pdf" TargetMode="External"/><Relationship Id="rIdV366" Type="http://schemas.openxmlformats.org/officeDocument/2006/relationships/hyperlink" Target="https://www.jlpt.jp/samples/sample2018/pdf/N3L.pdf" TargetMode="External"/></Relationships>
</file>

<file path=xl/worksheets/_rels/sheet5.xml.rels><?xml version='1.0' encoding='UTF-8' standalone='yes'?>
<Relationships xmlns="http://schemas.openxmlformats.org/package/2006/relationships"><Relationship Id="rIdV31" Type="http://schemas.openxmlformats.org/officeDocument/2006/relationships/hyperlink" Target="https://www.jlpt.jp/samples/sample2018/pdf/N4G.pdf" TargetMode="External"/><Relationship Id="rIdV32" Type="http://schemas.openxmlformats.org/officeDocument/2006/relationships/hyperlink" Target="https://www.jlpt.jp/samples/sample2018/pdf/N4answer.pdf" TargetMode="External"/><Relationship Id="rIdV33" Type="http://schemas.openxmlformats.org/officeDocument/2006/relationships/hyperlink" Target="https://www.jlpt.jp/samples/sample2018/pdf/N4G.pdf" TargetMode="External"/><Relationship Id="rIdV34" Type="http://schemas.openxmlformats.org/officeDocument/2006/relationships/hyperlink" Target="https://www.jlpt.jp/samples/sample2018/pdf/N4answer.pdf" TargetMode="External"/><Relationship Id="rIdV35" Type="http://schemas.openxmlformats.org/officeDocument/2006/relationships/hyperlink" Target="https://www.jlpt.jp/samples/sample2018/pdf/N4V.pdf" TargetMode="External"/><Relationship Id="rIdV36" Type="http://schemas.openxmlformats.org/officeDocument/2006/relationships/hyperlink" Target="https://www.jlpt.jp/samples/sample2018/pdf/N4answer.pdf" TargetMode="External"/><Relationship Id="rIdV37" Type="http://schemas.openxmlformats.org/officeDocument/2006/relationships/hyperlink" Target="https://www.jlpt.jp/samples/sample2018/pdf/N4R.pdf" TargetMode="External"/><Relationship Id="rIdV38" Type="http://schemas.openxmlformats.org/officeDocument/2006/relationships/hyperlink" Target="https://www.jlpt.jp/samples/sample2018/pdf/N4answer.pdf" TargetMode="External"/><Relationship Id="rIdV39" Type="http://schemas.openxmlformats.org/officeDocument/2006/relationships/hyperlink" Target="https://www.jlpt.jp/samples/sample2018/pdf/N4L.pdf" TargetMode="External"/><Relationship Id="rIdV310" Type="http://schemas.openxmlformats.org/officeDocument/2006/relationships/hyperlink" Target="https://www.jlpt.jp/samples/sample2018/pdf/N4answer.pdf" TargetMode="External"/><Relationship Id="rIdV311" Type="http://schemas.openxmlformats.org/officeDocument/2006/relationships/hyperlink" Target="https://www.jlpt.jp/samples/sample2018/pdf/N4L.pdf" TargetMode="External"/><Relationship Id="rIdV312" Type="http://schemas.openxmlformats.org/officeDocument/2006/relationships/hyperlink" Target="https://www.jlpt.jp/samples/sample2018/pdf/N4answer.pdf" TargetMode="External"/><Relationship Id="rIdV313" Type="http://schemas.openxmlformats.org/officeDocument/2006/relationships/hyperlink" Target="https://www.jlpt.jp/samples/sample2018/pdf/N3G.pdf" TargetMode="External"/><Relationship Id="rIdV314" Type="http://schemas.openxmlformats.org/officeDocument/2006/relationships/hyperlink" Target="https://www.jlpt.jp/samples/sample2018/pdf/N3answer.pdf" TargetMode="External"/><Relationship Id="rIdV315" Type="http://schemas.openxmlformats.org/officeDocument/2006/relationships/hyperlink" Target="https://www.jlpt.jp/samples/sample2018/pdf/N3V.pdf" TargetMode="External"/><Relationship Id="rIdV316" Type="http://schemas.openxmlformats.org/officeDocument/2006/relationships/hyperlink" Target="https://www.jlpt.jp/samples/sample2018/pdf/N3answer.pdf" TargetMode="External"/><Relationship Id="rIdV317" Type="http://schemas.openxmlformats.org/officeDocument/2006/relationships/hyperlink" Target="https://www.jlpt.jp/samples/sample2018/pdf/N3R.pdf" TargetMode="External"/><Relationship Id="rIdV318" Type="http://schemas.openxmlformats.org/officeDocument/2006/relationships/hyperlink" Target="https://www.jlpt.jp/samples/sample2018/pdf/N3answer.pdf" TargetMode="External"/><Relationship Id="rIdV319" Type="http://schemas.openxmlformats.org/officeDocument/2006/relationships/hyperlink" Target="https://www.jlpt.jp/samples/sample2018/pdf/N3L.pdf" TargetMode="External"/><Relationship Id="rIdV320" Type="http://schemas.openxmlformats.org/officeDocument/2006/relationships/hyperlink" Target="https://www.jlpt.jp/samples/sample2018/pdf/N3answer.pdf" TargetMode="External"/><Relationship Id="rIdV321" Type="http://schemas.openxmlformats.org/officeDocument/2006/relationships/hyperlink" Target="https://www.jlpt.jp/samples/sample2018/pdf/N3L.pdf" TargetMode="External"/><Relationship Id="rIdV322" Type="http://schemas.openxmlformats.org/officeDocument/2006/relationships/hyperlink" Target="https://www.jlpt.jp/samples/sample2018/pdf/N3answer.pdf" TargetMode="External"/></Relationships>
</file>

<file path=xl/worksheets/phase3_practice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6" hidden="0" customWidth="1"/>
    <x:col min="2" max="2" width="15" hidden="0" customWidth="1"/>
    <x:col min="3" max="3" width="8" hidden="0" customWidth="1"/>
    <x:col min="4" max="4" width="18" hidden="0" customWidth="1"/>
    <x:col min="5" max="5" width="20" hidden="0" customWidth="1"/>
    <x:col min="6" max="6" width="15" hidden="0" customWidth="1"/>
    <x:col min="7" max="7" width="10" hidden="0" customWidth="1"/>
    <x:col min="8" max="8" width="14" hidden="0" customWidth="1"/>
    <x:col min="9" max="9" width="14" hidden="0" customWidth="1"/>
    <x:col min="10" max="10" width="12" hidden="0" customWidth="1"/>
    <x:col min="11" max="11" width="22" hidden="0" customWidth="1"/>
    <x:col min="12" max="12" width="48" hidden="0" customWidth="1"/>
    <x:col min="13" max="13" width="24" hidden="0" customWidth="1"/>
  </x:cols>
  <x:sheetData>
    <x:row r="1" ht="27" customHeight="1">
      <x:c r="A1" s="76" t="str">
        <x:v>Ứng dụng → Excel · tùy chọn mỗi tuần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</x:row>
    <x:row r="2" ht="56" customHeight="1">
      <x:c r="A2" s="84" t="str">
        <x:v>Đúng mới tự làm</x:v>
      </x:c>
      <x:c r="B2" s="84"/>
      <x:c r="C2" s="84" t="n">
        <x:f>SUMIFS(G8:G507,F8:F507,"Mới",M8:M507,"Hợp lệ")</x:f>
        <x:v>0</x:v>
      </x:c>
      <x:c r="D2" s="84" t="str">
        <x:v>Đã trả lời mới</x:v>
      </x:c>
      <x:c r="E2" s="84" t="n">
        <x:f>SUMIFS(H8:H507,F8:F507,"Mới",M8:M507,"Hợp lệ")</x:f>
        <x:v>0</x:v>
      </x:c>
      <x:c r="F2" s="84" t="str">
        <x:v>Tỉ lệ có mẫu</x:v>
      </x:c>
      <x:c r="G2" s="85" t="str">
        <x:f>IF(E2=0,"Chưa có dữ liệu",C2/E2)</x:f>
        <x:v>Chưa có dữ liệu</x:v>
      </x:c>
      <x:c r="H2" s="84" t="str">
        <x:v>Dòng cần kiểm</x:v>
      </x:c>
      <x:c r="I2" s="84" t="n">
        <x:f>COUNTIF(M8:M507,"Kiểm tra/trùng")</x:f>
        <x:v>0</x:v>
      </x:c>
      <x:c r="J2" s="84" t="str">
        <x:v>Phút hợp lệ</x:v>
      </x:c>
      <x:c r="K2" s="84" t="n">
        <x:f>SUMIF(M8:M507,"Hợp lệ",J8:J507)/60</x:f>
        <x:v>0</x:v>
      </x:c>
      <x:c r="L2" s="84"/>
      <x:c r="M2" s="84"/>
    </x:row>
    <x:row r="3" ht="34" customHeight="1">
      <x:c r="A3" s="79" t="str">
        <x:v>Xuất CSV trong ứng dụng → mở CSV bằng Excel (UTF-8, dấu phẩy) → sao chép 12 cột dữ liệu A–L, bỏ tiêu đề, dán từ A8.</x:v>
      </x:c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</x:row>
    <x:row r="4" ht="34" customHeight="1">
      <x:c r="A4" s="79" t="str">
        <x:v>Mỗi lần cập nhật: thay toàn bộ vùng nhập A8:L507 bằng bản xuất mới; hoặc thêm cuối. Trùng Session ID + kỹ năng + loại dữ liệu: chỉ dòng đầu hợp lệ.</x:v>
      </x:c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</x:row>
    <x:row r="5" ht="34" customHeight="1">
      <x:c r="A5" s="79" t="str">
        <x:v>Điểm ứng dụng giữ riêng với chẩn đoán chính thức ở 5 trang cũ. Không dùng tỉ lệ này làm điểm chuẩn JLPT. JSON là bản sao đầy đủ, CSV chỉ là tổng hợp.</x:v>
      </x:c>
      <x:c r="B5" s="79"/>
      <x:c r="C5" s="79"/>
      <x:c r="D5" s="79"/>
      <x:c r="E5" s="79"/>
      <x:c r="F5" s="79"/>
      <x:c r="G5" s="79"/>
      <x:c r="H5" s="79"/>
      <x:c r="I5" s="79"/>
      <x:c r="J5" s="79"/>
      <x:c r="K5" s="79"/>
      <x:c r="L5" s="79"/>
      <x:c r="M5" s="79"/>
    </x:row>
    <x:row r="6" ht="27" customHeight="1">
      <x:c r="A6" s="75" t="str">
        <x:v>Không có điểm người học được điền trước. Mở JLPT_PRACTICE/index.html trong cùng thư mục bộ tài liệu để luyện.</x:v>
      </x:c>
      <x:c r="B6" s="75"/>
      <x:c r="C6" s="75"/>
      <x:c r="D6" s="75"/>
      <x:c r="E6" s="75"/>
      <x:c r="F6" s="75"/>
      <x:c r="G6" s="75"/>
      <x:c r="H6" s="75"/>
      <x:c r="I6" s="75"/>
      <x:c r="J6" s="75"/>
      <x:c r="K6" s="75"/>
      <x:c r="L6" s="75"/>
      <x:c r="M6" s="75"/>
    </x:row>
    <x:row r="7" ht="35" customHeight="1">
      <x:c r="A7" s="82" t="str">
        <x:v>Session ID</x:v>
      </x:c>
      <x:c r="B7" s="82" t="str">
        <x:v>Ngày</x:v>
      </x:c>
      <x:c r="C7" s="82" t="str">
        <x:v>Cấp</x:v>
      </x:c>
      <x:c r="D7" s="82" t="str">
        <x:v>Kỹ năng</x:v>
      </x:c>
      <x:c r="E7" s="82" t="str">
        <x:v>Mã bài</x:v>
      </x:c>
      <x:c r="F7" s="82" t="str">
        <x:v>Loại dữ liệu</x:v>
      </x:c>
      <x:c r="G7" s="82" t="str">
        <x:v>Đúng</x:v>
      </x:c>
      <x:c r="H7" s="82" t="str">
        <x:v>Đã trả lời</x:v>
      </x:c>
      <x:c r="I7" s="82" t="str">
        <x:v>Tổng đã xem</x:v>
      </x:c>
      <x:c r="J7" s="82" t="str">
        <x:v>Giây làm</x:v>
      </x:c>
      <x:c r="K7" s="82" t="str">
        <x:v>Trợ giúp</x:v>
      </x:c>
      <x:c r="L7" s="82" t="str">
        <x:v>Ghi chú</x:v>
      </x:c>
      <x:c r="M7" s="82" t="str">
        <x:v>Kiểm dữ liệu</x:v>
      </x:c>
    </x:row>
    <x:row r="8" ht="27" customHeight="1">
      <x:c r="A8" s="83"/>
      <x:c r="B8" s="83"/>
      <x:c r="C8" s="83"/>
      <x:c r="D8" s="83"/>
      <x:c r="E8" s="83"/>
      <x:c r="F8" s="83"/>
      <x:c r="G8" s="83"/>
      <x:c r="H8" s="83"/>
      <x:c r="I8" s="83"/>
      <x:c r="J8" s="83"/>
      <x:c r="K8" s="83"/>
      <x:c r="L8" s="83"/>
      <x:c r="M8" s="75" t="str">
        <x:f>IF(COUNTA(A8:L8)=0,"",IF(AND(A8&lt;&gt;"",B8&lt;&gt;"",C8="N4",OR(D8="Ngữ pháp",D8="Đọc",D8="Nghe",D8="Từ và kanji",D8="Giao tiếp"),OR(F8="Mới",F8="Ôn lại",F8="Hỗ trợ",F8="Luyện"),ISNUMBER(G8),ISNUMBER(H8),ISNUMBER(I8),ISNUMBER(J8),G8&gt;=0,H8&gt;=G8,I8&gt;=H8,I8&gt;0,J8&gt;=0,MOD(G8,1)=0,MOD(H8,1)=0,MOD(I8,1)=0,COUNTIFS($A$8:A8,A8,$D$8:D8,D8,$F$8:F8,F8)=1),"Hợp lệ","Kiểm tra/trùng"))</x:f>
      </x:c>
    </x:row>
    <x:row r="9" ht="27" customHeight="1">
      <x:c r="A9" s="83"/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75" t="str">
        <x:f>IF(COUNTA(A9:L9)=0,"",IF(AND(A9&lt;&gt;"",B9&lt;&gt;"",C9="N4",OR(D9="Ngữ pháp",D9="Đọc",D9="Nghe",D9="Từ và kanji",D9="Giao tiếp"),OR(F9="Mới",F9="Ôn lại",F9="Hỗ trợ",F9="Luyện"),ISNUMBER(G9),ISNUMBER(H9),ISNUMBER(I9),ISNUMBER(J9),G9&gt;=0,H9&gt;=G9,I9&gt;=H9,I9&gt;0,J9&gt;=0,MOD(G9,1)=0,MOD(H9,1)=0,MOD(I9,1)=0,COUNTIFS($A$8:A9,A9,$D$8:D9,D9,$F$8:F9,F9)=1),"Hợp lệ","Kiểm tra/trùng"))</x:f>
      </x:c>
    </x:row>
    <x:row r="10" ht="27" customHeight="1">
      <x:c r="A10" s="83"/>
      <x:c r="B10" s="83"/>
      <x:c r="C10" s="83"/>
      <x:c r="D10" s="83"/>
      <x:c r="E10" s="83"/>
      <x:c r="F10" s="83"/>
      <x:c r="G10" s="83"/>
      <x:c r="H10" s="83"/>
      <x:c r="I10" s="83"/>
      <x:c r="J10" s="83"/>
      <x:c r="K10" s="83"/>
      <x:c r="L10" s="83"/>
      <x:c r="M10" s="75" t="str">
        <x:f>IF(COUNTA(A10:L10)=0,"",IF(AND(A10&lt;&gt;"",B10&lt;&gt;"",C10="N4",OR(D10="Ngữ pháp",D10="Đọc",D10="Nghe",D10="Từ và kanji",D10="Giao tiếp"),OR(F10="Mới",F10="Ôn lại",F10="Hỗ trợ",F10="Luyện"),ISNUMBER(G10),ISNUMBER(H10),ISNUMBER(I10),ISNUMBER(J10),G10&gt;=0,H10&gt;=G10,I10&gt;=H10,I10&gt;0,J10&gt;=0,MOD(G10,1)=0,MOD(H10,1)=0,MOD(I10,1)=0,COUNTIFS($A$8:A10,A10,$D$8:D10,D10,$F$8:F10,F10)=1),"Hợp lệ","Kiểm tra/trùng"))</x:f>
      </x:c>
    </x:row>
    <x:row r="11" ht="27" customHeight="1">
      <x:c r="A11" s="83"/>
      <x:c r="B11" s="83"/>
      <x:c r="C11" s="83"/>
      <x:c r="D11" s="83"/>
      <x:c r="E11" s="83"/>
      <x:c r="F11" s="83"/>
      <x:c r="G11" s="83"/>
      <x:c r="H11" s="83"/>
      <x:c r="I11" s="83"/>
      <x:c r="J11" s="83"/>
      <x:c r="K11" s="83"/>
      <x:c r="L11" s="83"/>
      <x:c r="M11" s="75" t="str">
        <x:f>IF(COUNTA(A11:L11)=0,"",IF(AND(A11&lt;&gt;"",B11&lt;&gt;"",C11="N4",OR(D11="Ngữ pháp",D11="Đọc",D11="Nghe",D11="Từ và kanji",D11="Giao tiếp"),OR(F11="Mới",F11="Ôn lại",F11="Hỗ trợ",F11="Luyện"),ISNUMBER(G11),ISNUMBER(H11),ISNUMBER(I11),ISNUMBER(J11),G11&gt;=0,H11&gt;=G11,I11&gt;=H11,I11&gt;0,J11&gt;=0,MOD(G11,1)=0,MOD(H11,1)=0,MOD(I11,1)=0,COUNTIFS($A$8:A11,A11,$D$8:D11,D11,$F$8:F11,F11)=1),"Hợp lệ","Kiểm tra/trùng"))</x:f>
      </x:c>
    </x:row>
    <x:row r="12" ht="27" customHeight="1">
      <x:c r="A12" s="83"/>
      <x:c r="B12" s="83"/>
      <x:c r="C12" s="83"/>
      <x:c r="D12" s="83"/>
      <x:c r="E12" s="83"/>
      <x:c r="F12" s="83"/>
      <x:c r="G12" s="83"/>
      <x:c r="H12" s="83"/>
      <x:c r="I12" s="83"/>
      <x:c r="J12" s="83"/>
      <x:c r="K12" s="83"/>
      <x:c r="L12" s="83"/>
      <x:c r="M12" s="75" t="str">
        <x:f>IF(COUNTA(A12:L12)=0,"",IF(AND(A12&lt;&gt;"",B12&lt;&gt;"",C12="N4",OR(D12="Ngữ pháp",D12="Đọc",D12="Nghe",D12="Từ và kanji",D12="Giao tiếp"),OR(F12="Mới",F12="Ôn lại",F12="Hỗ trợ",F12="Luyện"),ISNUMBER(G12),ISNUMBER(H12),ISNUMBER(I12),ISNUMBER(J12),G12&gt;=0,H12&gt;=G12,I12&gt;=H12,I12&gt;0,J12&gt;=0,MOD(G12,1)=0,MOD(H12,1)=0,MOD(I12,1)=0,COUNTIFS($A$8:A12,A12,$D$8:D12,D12,$F$8:F12,F12)=1),"Hợp lệ","Kiểm tra/trùng"))</x:f>
      </x:c>
    </x:row>
    <x:row r="13" ht="27" customHeight="1">
      <x:c r="A13" s="83"/>
      <x:c r="B13" s="83"/>
      <x:c r="C13" s="83"/>
      <x:c r="D13" s="83"/>
      <x:c r="E13" s="83"/>
      <x:c r="F13" s="83"/>
      <x:c r="G13" s="83"/>
      <x:c r="H13" s="83"/>
      <x:c r="I13" s="83"/>
      <x:c r="J13" s="83"/>
      <x:c r="K13" s="83"/>
      <x:c r="L13" s="83"/>
      <x:c r="M13" s="75" t="str">
        <x:f>IF(COUNTA(A13:L13)=0,"",IF(AND(A13&lt;&gt;"",B13&lt;&gt;"",C13="N4",OR(D13="Ngữ pháp",D13="Đọc",D13="Nghe",D13="Từ và kanji",D13="Giao tiếp"),OR(F13="Mới",F13="Ôn lại",F13="Hỗ trợ",F13="Luyện"),ISNUMBER(G13),ISNUMBER(H13),ISNUMBER(I13),ISNUMBER(J13),G13&gt;=0,H13&gt;=G13,I13&gt;=H13,I13&gt;0,J13&gt;=0,MOD(G13,1)=0,MOD(H13,1)=0,MOD(I13,1)=0,COUNTIFS($A$8:A13,A13,$D$8:D13,D13,$F$8:F13,F13)=1),"Hợp lệ","Kiểm tra/trùng"))</x:f>
      </x:c>
    </x:row>
    <x:row r="14" ht="27" customHeight="1">
      <x:c r="A14" s="83"/>
      <x:c r="B14" s="83"/>
      <x:c r="C14" s="83"/>
      <x:c r="D14" s="83"/>
      <x:c r="E14" s="83"/>
      <x:c r="F14" s="83"/>
      <x:c r="G14" s="83"/>
      <x:c r="H14" s="83"/>
      <x:c r="I14" s="83"/>
      <x:c r="J14" s="83"/>
      <x:c r="K14" s="83"/>
      <x:c r="L14" s="83"/>
      <x:c r="M14" s="75" t="str">
        <x:f>IF(COUNTA(A14:L14)=0,"",IF(AND(A14&lt;&gt;"",B14&lt;&gt;"",C14="N4",OR(D14="Ngữ pháp",D14="Đọc",D14="Nghe",D14="Từ và kanji",D14="Giao tiếp"),OR(F14="Mới",F14="Ôn lại",F14="Hỗ trợ",F14="Luyện"),ISNUMBER(G14),ISNUMBER(H14),ISNUMBER(I14),ISNUMBER(J14),G14&gt;=0,H14&gt;=G14,I14&gt;=H14,I14&gt;0,J14&gt;=0,MOD(G14,1)=0,MOD(H14,1)=0,MOD(I14,1)=0,COUNTIFS($A$8:A14,A14,$D$8:D14,D14,$F$8:F14,F14)=1),"Hợp lệ","Kiểm tra/trùng"))</x:f>
      </x:c>
    </x:row>
    <x:row r="15" ht="27" customHeight="1">
      <x:c r="A15" s="83"/>
      <x:c r="B15" s="83"/>
      <x:c r="C15" s="83"/>
      <x:c r="D15" s="83"/>
      <x:c r="E15" s="83"/>
      <x:c r="F15" s="83"/>
      <x:c r="G15" s="83"/>
      <x:c r="H15" s="83"/>
      <x:c r="I15" s="83"/>
      <x:c r="J15" s="83"/>
      <x:c r="K15" s="83"/>
      <x:c r="L15" s="83"/>
      <x:c r="M15" s="75" t="str">
        <x:f>IF(COUNTA(A15:L15)=0,"",IF(AND(A15&lt;&gt;"",B15&lt;&gt;"",C15="N4",OR(D15="Ngữ pháp",D15="Đọc",D15="Nghe",D15="Từ và kanji",D15="Giao tiếp"),OR(F15="Mới",F15="Ôn lại",F15="Hỗ trợ",F15="Luyện"),ISNUMBER(G15),ISNUMBER(H15),ISNUMBER(I15),ISNUMBER(J15),G15&gt;=0,H15&gt;=G15,I15&gt;=H15,I15&gt;0,J15&gt;=0,MOD(G15,1)=0,MOD(H15,1)=0,MOD(I15,1)=0,COUNTIFS($A$8:A15,A15,$D$8:D15,D15,$F$8:F15,F15)=1),"Hợp lệ","Kiểm tra/trùng"))</x:f>
      </x:c>
    </x:row>
    <x:row r="16" ht="27" customHeight="1">
      <x:c r="A16" s="83"/>
      <x:c r="B16" s="83"/>
      <x:c r="C16" s="83"/>
      <x:c r="D16" s="83"/>
      <x:c r="E16" s="83"/>
      <x:c r="F16" s="83"/>
      <x:c r="G16" s="83"/>
      <x:c r="H16" s="83"/>
      <x:c r="I16" s="83"/>
      <x:c r="J16" s="83"/>
      <x:c r="K16" s="83"/>
      <x:c r="L16" s="83"/>
      <x:c r="M16" s="75" t="str">
        <x:f>IF(COUNTA(A16:L16)=0,"",IF(AND(A16&lt;&gt;"",B16&lt;&gt;"",C16="N4",OR(D16="Ngữ pháp",D16="Đọc",D16="Nghe",D16="Từ và kanji",D16="Giao tiếp"),OR(F16="Mới",F16="Ôn lại",F16="Hỗ trợ",F16="Luyện"),ISNUMBER(G16),ISNUMBER(H16),ISNUMBER(I16),ISNUMBER(J16),G16&gt;=0,H16&gt;=G16,I16&gt;=H16,I16&gt;0,J16&gt;=0,MOD(G16,1)=0,MOD(H16,1)=0,MOD(I16,1)=0,COUNTIFS($A$8:A16,A16,$D$8:D16,D16,$F$8:F16,F16)=1),"Hợp lệ","Kiểm tra/trùng"))</x:f>
      </x:c>
    </x:row>
    <x:row r="17" ht="27" customHeight="1">
      <x:c r="A17" s="83"/>
      <x:c r="B17" s="83"/>
      <x:c r="C17" s="83"/>
      <x:c r="D17" s="83"/>
      <x:c r="E17" s="83"/>
      <x:c r="F17" s="83"/>
      <x:c r="G17" s="83"/>
      <x:c r="H17" s="83"/>
      <x:c r="I17" s="83"/>
      <x:c r="J17" s="83"/>
      <x:c r="K17" s="83"/>
      <x:c r="L17" s="83"/>
      <x:c r="M17" s="75" t="str">
        <x:f>IF(COUNTA(A17:L17)=0,"",IF(AND(A17&lt;&gt;"",B17&lt;&gt;"",C17="N4",OR(D17="Ngữ pháp",D17="Đọc",D17="Nghe",D17="Từ và kanji",D17="Giao tiếp"),OR(F17="Mới",F17="Ôn lại",F17="Hỗ trợ",F17="Luyện"),ISNUMBER(G17),ISNUMBER(H17),ISNUMBER(I17),ISNUMBER(J17),G17&gt;=0,H17&gt;=G17,I17&gt;=H17,I17&gt;0,J17&gt;=0,MOD(G17,1)=0,MOD(H17,1)=0,MOD(I17,1)=0,COUNTIFS($A$8:A17,A17,$D$8:D17,D17,$F$8:F17,F17)=1),"Hợp lệ","Kiểm tra/trùng"))</x:f>
      </x:c>
    </x:row>
    <x:row r="18" ht="27" customHeight="1">
      <x:c r="A18" s="83"/>
      <x:c r="B18" s="83"/>
      <x:c r="C18" s="83"/>
      <x:c r="D18" s="83"/>
      <x:c r="E18" s="83"/>
      <x:c r="F18" s="83"/>
      <x:c r="G18" s="83"/>
      <x:c r="H18" s="83"/>
      <x:c r="I18" s="83"/>
      <x:c r="J18" s="83"/>
      <x:c r="K18" s="83"/>
      <x:c r="L18" s="83"/>
      <x:c r="M18" s="75" t="str">
        <x:f>IF(COUNTA(A18:L18)=0,"",IF(AND(A18&lt;&gt;"",B18&lt;&gt;"",C18="N4",OR(D18="Ngữ pháp",D18="Đọc",D18="Nghe",D18="Từ và kanji",D18="Giao tiếp"),OR(F18="Mới",F18="Ôn lại",F18="Hỗ trợ",F18="Luyện"),ISNUMBER(G18),ISNUMBER(H18),ISNUMBER(I18),ISNUMBER(J18),G18&gt;=0,H18&gt;=G18,I18&gt;=H18,I18&gt;0,J18&gt;=0,MOD(G18,1)=0,MOD(H18,1)=0,MOD(I18,1)=0,COUNTIFS($A$8:A18,A18,$D$8:D18,D18,$F$8:F18,F18)=1),"Hợp lệ","Kiểm tra/trùng"))</x:f>
      </x:c>
    </x:row>
    <x:row r="19" ht="27" customHeight="1">
      <x:c r="A19" s="83"/>
      <x:c r="B19" s="83"/>
      <x:c r="C19" s="83"/>
      <x:c r="D19" s="83"/>
      <x:c r="E19" s="83"/>
      <x:c r="F19" s="83"/>
      <x:c r="G19" s="83"/>
      <x:c r="H19" s="83"/>
      <x:c r="I19" s="83"/>
      <x:c r="J19" s="83"/>
      <x:c r="K19" s="83"/>
      <x:c r="L19" s="83"/>
      <x:c r="M19" s="75" t="str">
        <x:f>IF(COUNTA(A19:L19)=0,"",IF(AND(A19&lt;&gt;"",B19&lt;&gt;"",C19="N4",OR(D19="Ngữ pháp",D19="Đọc",D19="Nghe",D19="Từ và kanji",D19="Giao tiếp"),OR(F19="Mới",F19="Ôn lại",F19="Hỗ trợ",F19="Luyện"),ISNUMBER(G19),ISNUMBER(H19),ISNUMBER(I19),ISNUMBER(J19),G19&gt;=0,H19&gt;=G19,I19&gt;=H19,I19&gt;0,J19&gt;=0,MOD(G19,1)=0,MOD(H19,1)=0,MOD(I19,1)=0,COUNTIFS($A$8:A19,A19,$D$8:D19,D19,$F$8:F19,F19)=1),"Hợp lệ","Kiểm tra/trùng"))</x:f>
      </x:c>
    </x:row>
    <x:row r="20" ht="27" customHeight="1">
      <x:c r="A20" s="83"/>
      <x:c r="B20" s="83"/>
      <x:c r="C20" s="83"/>
      <x:c r="D20" s="83"/>
      <x:c r="E20" s="83"/>
      <x:c r="F20" s="83"/>
      <x:c r="G20" s="83"/>
      <x:c r="H20" s="83"/>
      <x:c r="I20" s="83"/>
      <x:c r="J20" s="83"/>
      <x:c r="K20" s="83"/>
      <x:c r="L20" s="83"/>
      <x:c r="M20" s="75" t="str">
        <x:f>IF(COUNTA(A20:L20)=0,"",IF(AND(A20&lt;&gt;"",B20&lt;&gt;"",C20="N4",OR(D20="Ngữ pháp",D20="Đọc",D20="Nghe",D20="Từ và kanji",D20="Giao tiếp"),OR(F20="Mới",F20="Ôn lại",F20="Hỗ trợ",F20="Luyện"),ISNUMBER(G20),ISNUMBER(H20),ISNUMBER(I20),ISNUMBER(J20),G20&gt;=0,H20&gt;=G20,I20&gt;=H20,I20&gt;0,J20&gt;=0,MOD(G20,1)=0,MOD(H20,1)=0,MOD(I20,1)=0,COUNTIFS($A$8:A20,A20,$D$8:D20,D20,$F$8:F20,F20)=1),"Hợp lệ","Kiểm tra/trùng"))</x:f>
      </x:c>
    </x:row>
    <x:row r="21" ht="27" customHeight="1">
      <x:c r="A21" s="83"/>
      <x:c r="B21" s="83"/>
      <x:c r="C21" s="83"/>
      <x:c r="D21" s="83"/>
      <x:c r="E21" s="83"/>
      <x:c r="F21" s="83"/>
      <x:c r="G21" s="83"/>
      <x:c r="H21" s="83"/>
      <x:c r="I21" s="83"/>
      <x:c r="J21" s="83"/>
      <x:c r="K21" s="83"/>
      <x:c r="L21" s="83"/>
      <x:c r="M21" s="75" t="str">
        <x:f>IF(COUNTA(A21:L21)=0,"",IF(AND(A21&lt;&gt;"",B21&lt;&gt;"",C21="N4",OR(D21="Ngữ pháp",D21="Đọc",D21="Nghe",D21="Từ và kanji",D21="Giao tiếp"),OR(F21="Mới",F21="Ôn lại",F21="Hỗ trợ",F21="Luyện"),ISNUMBER(G21),ISNUMBER(H21),ISNUMBER(I21),ISNUMBER(J21),G21&gt;=0,H21&gt;=G21,I21&gt;=H21,I21&gt;0,J21&gt;=0,MOD(G21,1)=0,MOD(H21,1)=0,MOD(I21,1)=0,COUNTIFS($A$8:A21,A21,$D$8:D21,D21,$F$8:F21,F21)=1),"Hợp lệ","Kiểm tra/trùng"))</x:f>
      </x:c>
    </x:row>
    <x:row r="22" ht="27" customHeight="1">
      <x:c r="A22" s="83"/>
      <x:c r="B22" s="83"/>
      <x:c r="C22" s="83"/>
      <x:c r="D22" s="83"/>
      <x:c r="E22" s="83"/>
      <x:c r="F22" s="83"/>
      <x:c r="G22" s="83"/>
      <x:c r="H22" s="83"/>
      <x:c r="I22" s="83"/>
      <x:c r="J22" s="83"/>
      <x:c r="K22" s="83"/>
      <x:c r="L22" s="83"/>
      <x:c r="M22" s="75" t="str">
        <x:f>IF(COUNTA(A22:L22)=0,"",IF(AND(A22&lt;&gt;"",B22&lt;&gt;"",C22="N4",OR(D22="Ngữ pháp",D22="Đọc",D22="Nghe",D22="Từ và kanji",D22="Giao tiếp"),OR(F22="Mới",F22="Ôn lại",F22="Hỗ trợ",F22="Luyện"),ISNUMBER(G22),ISNUMBER(H22),ISNUMBER(I22),ISNUMBER(J22),G22&gt;=0,H22&gt;=G22,I22&gt;=H22,I22&gt;0,J22&gt;=0,MOD(G22,1)=0,MOD(H22,1)=0,MOD(I22,1)=0,COUNTIFS($A$8:A22,A22,$D$8:D22,D22,$F$8:F22,F22)=1),"Hợp lệ","Kiểm tra/trùng"))</x:f>
      </x:c>
    </x:row>
    <x:row r="23" ht="27" customHeight="1">
      <x:c r="A23" s="83"/>
      <x:c r="B23" s="83"/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  <x:c r="M23" s="75" t="str">
        <x:f>IF(COUNTA(A23:L23)=0,"",IF(AND(A23&lt;&gt;"",B23&lt;&gt;"",C23="N4",OR(D23="Ngữ pháp",D23="Đọc",D23="Nghe",D23="Từ và kanji",D23="Giao tiếp"),OR(F23="Mới",F23="Ôn lại",F23="Hỗ trợ",F23="Luyện"),ISNUMBER(G23),ISNUMBER(H23),ISNUMBER(I23),ISNUMBER(J23),G23&gt;=0,H23&gt;=G23,I23&gt;=H23,I23&gt;0,J23&gt;=0,MOD(G23,1)=0,MOD(H23,1)=0,MOD(I23,1)=0,COUNTIFS($A$8:A23,A23,$D$8:D23,D23,$F$8:F23,F23)=1),"Hợp lệ","Kiểm tra/trùng"))</x:f>
      </x:c>
    </x:row>
    <x:row r="24" ht="27" customHeight="1">
      <x:c r="A24" s="83"/>
      <x:c r="B24" s="83"/>
      <x:c r="C24" s="83"/>
      <x:c r="D24" s="83"/>
      <x:c r="E24" s="83"/>
      <x:c r="F24" s="83"/>
      <x:c r="G24" s="83"/>
      <x:c r="H24" s="83"/>
      <x:c r="I24" s="83"/>
      <x:c r="J24" s="83"/>
      <x:c r="K24" s="83"/>
      <x:c r="L24" s="83"/>
      <x:c r="M24" s="75" t="str">
        <x:f>IF(COUNTA(A24:L24)=0,"",IF(AND(A24&lt;&gt;"",B24&lt;&gt;"",C24="N4",OR(D24="Ngữ pháp",D24="Đọc",D24="Nghe",D24="Từ và kanji",D24="Giao tiếp"),OR(F24="Mới",F24="Ôn lại",F24="Hỗ trợ",F24="Luyện"),ISNUMBER(G24),ISNUMBER(H24),ISNUMBER(I24),ISNUMBER(J24),G24&gt;=0,H24&gt;=G24,I24&gt;=H24,I24&gt;0,J24&gt;=0,MOD(G24,1)=0,MOD(H24,1)=0,MOD(I24,1)=0,COUNTIFS($A$8:A24,A24,$D$8:D24,D24,$F$8:F24,F24)=1),"Hợp lệ","Kiểm tra/trùng"))</x:f>
      </x:c>
    </x:row>
    <x:row r="25" ht="27" customHeight="1">
      <x:c r="A25" s="83"/>
      <x:c r="B25" s="83"/>
      <x:c r="C25" s="83"/>
      <x:c r="D25" s="83"/>
      <x:c r="E25" s="83"/>
      <x:c r="F25" s="83"/>
      <x:c r="G25" s="83"/>
      <x:c r="H25" s="83"/>
      <x:c r="I25" s="83"/>
      <x:c r="J25" s="83"/>
      <x:c r="K25" s="83"/>
      <x:c r="L25" s="83"/>
      <x:c r="M25" s="75" t="str">
        <x:f>IF(COUNTA(A25:L25)=0,"",IF(AND(A25&lt;&gt;"",B25&lt;&gt;"",C25="N4",OR(D25="Ngữ pháp",D25="Đọc",D25="Nghe",D25="Từ và kanji",D25="Giao tiếp"),OR(F25="Mới",F25="Ôn lại",F25="Hỗ trợ",F25="Luyện"),ISNUMBER(G25),ISNUMBER(H25),ISNUMBER(I25),ISNUMBER(J25),G25&gt;=0,H25&gt;=G25,I25&gt;=H25,I25&gt;0,J25&gt;=0,MOD(G25,1)=0,MOD(H25,1)=0,MOD(I25,1)=0,COUNTIFS($A$8:A25,A25,$D$8:D25,D25,$F$8:F25,F25)=1),"Hợp lệ","Kiểm tra/trùng"))</x:f>
      </x:c>
    </x:row>
    <x:row r="26" ht="27" customHeight="1">
      <x:c r="A26" s="83"/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75" t="str">
        <x:f>IF(COUNTA(A26:L26)=0,"",IF(AND(A26&lt;&gt;"",B26&lt;&gt;"",C26="N4",OR(D26="Ngữ pháp",D26="Đọc",D26="Nghe",D26="Từ và kanji",D26="Giao tiếp"),OR(F26="Mới",F26="Ôn lại",F26="Hỗ trợ",F26="Luyện"),ISNUMBER(G26),ISNUMBER(H26),ISNUMBER(I26),ISNUMBER(J26),G26&gt;=0,H26&gt;=G26,I26&gt;=H26,I26&gt;0,J26&gt;=0,MOD(G26,1)=0,MOD(H26,1)=0,MOD(I26,1)=0,COUNTIFS($A$8:A26,A26,$D$8:D26,D26,$F$8:F26,F26)=1),"Hợp lệ","Kiểm tra/trùng"))</x:f>
      </x:c>
    </x:row>
    <x:row r="27" ht="27" customHeight="1">
      <x:c r="A27" s="83"/>
      <x:c r="B27" s="83"/>
      <x:c r="C27" s="83"/>
      <x:c r="D27" s="83"/>
      <x:c r="E27" s="83"/>
      <x:c r="F27" s="83"/>
      <x:c r="G27" s="83"/>
      <x:c r="H27" s="83"/>
      <x:c r="I27" s="83"/>
      <x:c r="J27" s="83"/>
      <x:c r="K27" s="83"/>
      <x:c r="L27" s="83"/>
      <x:c r="M27" s="75" t="str">
        <x:f>IF(COUNTA(A27:L27)=0,"",IF(AND(A27&lt;&gt;"",B27&lt;&gt;"",C27="N4",OR(D27="Ngữ pháp",D27="Đọc",D27="Nghe",D27="Từ và kanji",D27="Giao tiếp"),OR(F27="Mới",F27="Ôn lại",F27="Hỗ trợ",F27="Luyện"),ISNUMBER(G27),ISNUMBER(H27),ISNUMBER(I27),ISNUMBER(J27),G27&gt;=0,H27&gt;=G27,I27&gt;=H27,I27&gt;0,J27&gt;=0,MOD(G27,1)=0,MOD(H27,1)=0,MOD(I27,1)=0,COUNTIFS($A$8:A27,A27,$D$8:D27,D27,$F$8:F27,F27)=1),"Hợp lệ","Kiểm tra/trùng"))</x:f>
      </x:c>
    </x:row>
    <x:row r="28" ht="27" customHeight="1">
      <x:c r="A28" s="83"/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  <x:c r="M28" s="75" t="str">
        <x:f>IF(COUNTA(A28:L28)=0,"",IF(AND(A28&lt;&gt;"",B28&lt;&gt;"",C28="N4",OR(D28="Ngữ pháp",D28="Đọc",D28="Nghe",D28="Từ và kanji",D28="Giao tiếp"),OR(F28="Mới",F28="Ôn lại",F28="Hỗ trợ",F28="Luyện"),ISNUMBER(G28),ISNUMBER(H28),ISNUMBER(I28),ISNUMBER(J28),G28&gt;=0,H28&gt;=G28,I28&gt;=H28,I28&gt;0,J28&gt;=0,MOD(G28,1)=0,MOD(H28,1)=0,MOD(I28,1)=0,COUNTIFS($A$8:A28,A28,$D$8:D28,D28,$F$8:F28,F28)=1),"Hợp lệ","Kiểm tra/trùng"))</x:f>
      </x:c>
    </x:row>
    <x:row r="29" ht="27" customHeight="1">
      <x:c r="A29" s="83"/>
      <x:c r="B29" s="83"/>
      <x:c r="C29" s="83"/>
      <x:c r="D29" s="83"/>
      <x:c r="E29" s="83"/>
      <x:c r="F29" s="83"/>
      <x:c r="G29" s="83"/>
      <x:c r="H29" s="83"/>
      <x:c r="I29" s="83"/>
      <x:c r="J29" s="83"/>
      <x:c r="K29" s="83"/>
      <x:c r="L29" s="83"/>
      <x:c r="M29" s="75" t="str">
        <x:f>IF(COUNTA(A29:L29)=0,"",IF(AND(A29&lt;&gt;"",B29&lt;&gt;"",C29="N4",OR(D29="Ngữ pháp",D29="Đọc",D29="Nghe",D29="Từ và kanji",D29="Giao tiếp"),OR(F29="Mới",F29="Ôn lại",F29="Hỗ trợ",F29="Luyện"),ISNUMBER(G29),ISNUMBER(H29),ISNUMBER(I29),ISNUMBER(J29),G29&gt;=0,H29&gt;=G29,I29&gt;=H29,I29&gt;0,J29&gt;=0,MOD(G29,1)=0,MOD(H29,1)=0,MOD(I29,1)=0,COUNTIFS($A$8:A29,A29,$D$8:D29,D29,$F$8:F29,F29)=1),"Hợp lệ","Kiểm tra/trùng"))</x:f>
      </x:c>
    </x:row>
    <x:row r="30" ht="27" customHeight="1">
      <x:c r="A30" s="83"/>
      <x:c r="B30" s="83"/>
      <x:c r="C30" s="83"/>
      <x:c r="D30" s="83"/>
      <x:c r="E30" s="83"/>
      <x:c r="F30" s="83"/>
      <x:c r="G30" s="83"/>
      <x:c r="H30" s="83"/>
      <x:c r="I30" s="83"/>
      <x:c r="J30" s="83"/>
      <x:c r="K30" s="83"/>
      <x:c r="L30" s="83"/>
      <x:c r="M30" s="75" t="str">
        <x:f>IF(COUNTA(A30:L30)=0,"",IF(AND(A30&lt;&gt;"",B30&lt;&gt;"",C30="N4",OR(D30="Ngữ pháp",D30="Đọc",D30="Nghe",D30="Từ và kanji",D30="Giao tiếp"),OR(F30="Mới",F30="Ôn lại",F30="Hỗ trợ",F30="Luyện"),ISNUMBER(G30),ISNUMBER(H30),ISNUMBER(I30),ISNUMBER(J30),G30&gt;=0,H30&gt;=G30,I30&gt;=H30,I30&gt;0,J30&gt;=0,MOD(G30,1)=0,MOD(H30,1)=0,MOD(I30,1)=0,COUNTIFS($A$8:A30,A30,$D$8:D30,D30,$F$8:F30,F30)=1),"Hợp lệ","Kiểm tra/trùng"))</x:f>
      </x:c>
    </x:row>
    <x:row r="31" ht="27" customHeight="1">
      <x:c r="A31" s="83"/>
      <x:c r="B31" s="83"/>
      <x:c r="C31" s="83"/>
      <x:c r="D31" s="83"/>
      <x:c r="E31" s="83"/>
      <x:c r="F31" s="83"/>
      <x:c r="G31" s="83"/>
      <x:c r="H31" s="83"/>
      <x:c r="I31" s="83"/>
      <x:c r="J31" s="83"/>
      <x:c r="K31" s="83"/>
      <x:c r="L31" s="83"/>
      <x:c r="M31" s="75" t="str">
        <x:f>IF(COUNTA(A31:L31)=0,"",IF(AND(A31&lt;&gt;"",B31&lt;&gt;"",C31="N4",OR(D31="Ngữ pháp",D31="Đọc",D31="Nghe",D31="Từ và kanji",D31="Giao tiếp"),OR(F31="Mới",F31="Ôn lại",F31="Hỗ trợ",F31="Luyện"),ISNUMBER(G31),ISNUMBER(H31),ISNUMBER(I31),ISNUMBER(J31),G31&gt;=0,H31&gt;=G31,I31&gt;=H31,I31&gt;0,J31&gt;=0,MOD(G31,1)=0,MOD(H31,1)=0,MOD(I31,1)=0,COUNTIFS($A$8:A31,A31,$D$8:D31,D31,$F$8:F31,F31)=1),"Hợp lệ","Kiểm tra/trùng"))</x:f>
      </x:c>
    </x:row>
    <x:row r="32" ht="27" customHeight="1">
      <x:c r="A32" s="83"/>
      <x:c r="B32" s="83"/>
      <x:c r="C32" s="83"/>
      <x:c r="D32" s="83"/>
      <x:c r="E32" s="83"/>
      <x:c r="F32" s="83"/>
      <x:c r="G32" s="83"/>
      <x:c r="H32" s="83"/>
      <x:c r="I32" s="83"/>
      <x:c r="J32" s="83"/>
      <x:c r="K32" s="83"/>
      <x:c r="L32" s="83"/>
      <x:c r="M32" s="75" t="str">
        <x:f>IF(COUNTA(A32:L32)=0,"",IF(AND(A32&lt;&gt;"",B32&lt;&gt;"",C32="N4",OR(D32="Ngữ pháp",D32="Đọc",D32="Nghe",D32="Từ và kanji",D32="Giao tiếp"),OR(F32="Mới",F32="Ôn lại",F32="Hỗ trợ",F32="Luyện"),ISNUMBER(G32),ISNUMBER(H32),ISNUMBER(I32),ISNUMBER(J32),G32&gt;=0,H32&gt;=G32,I32&gt;=H32,I32&gt;0,J32&gt;=0,MOD(G32,1)=0,MOD(H32,1)=0,MOD(I32,1)=0,COUNTIFS($A$8:A32,A32,$D$8:D32,D32,$F$8:F32,F32)=1),"Hợp lệ","Kiểm tra/trùng"))</x:f>
      </x:c>
    </x:row>
    <x:row r="33" ht="27" customHeight="1">
      <x:c r="A33" s="83"/>
      <x:c r="B33" s="83"/>
      <x:c r="C33" s="83"/>
      <x:c r="D33" s="83"/>
      <x:c r="E33" s="83"/>
      <x:c r="F33" s="83"/>
      <x:c r="G33" s="83"/>
      <x:c r="H33" s="83"/>
      <x:c r="I33" s="83"/>
      <x:c r="J33" s="83"/>
      <x:c r="K33" s="83"/>
      <x:c r="L33" s="83"/>
      <x:c r="M33" s="75" t="str">
        <x:f>IF(COUNTA(A33:L33)=0,"",IF(AND(A33&lt;&gt;"",B33&lt;&gt;"",C33="N4",OR(D33="Ngữ pháp",D33="Đọc",D33="Nghe",D33="Từ và kanji",D33="Giao tiếp"),OR(F33="Mới",F33="Ôn lại",F33="Hỗ trợ",F33="Luyện"),ISNUMBER(G33),ISNUMBER(H33),ISNUMBER(I33),ISNUMBER(J33),G33&gt;=0,H33&gt;=G33,I33&gt;=H33,I33&gt;0,J33&gt;=0,MOD(G33,1)=0,MOD(H33,1)=0,MOD(I33,1)=0,COUNTIFS($A$8:A33,A33,$D$8:D33,D33,$F$8:F33,F33)=1),"Hợp lệ","Kiểm tra/trùng"))</x:f>
      </x:c>
    </x:row>
    <x:row r="34" ht="27" customHeight="1">
      <x:c r="A34" s="83"/>
      <x:c r="B34" s="83"/>
      <x:c r="C34" s="83"/>
      <x:c r="D34" s="83"/>
      <x:c r="E34" s="83"/>
      <x:c r="F34" s="83"/>
      <x:c r="G34" s="83"/>
      <x:c r="H34" s="83"/>
      <x:c r="I34" s="83"/>
      <x:c r="J34" s="83"/>
      <x:c r="K34" s="83"/>
      <x:c r="L34" s="83"/>
      <x:c r="M34" s="75" t="str">
        <x:f>IF(COUNTA(A34:L34)=0,"",IF(AND(A34&lt;&gt;"",B34&lt;&gt;"",C34="N4",OR(D34="Ngữ pháp",D34="Đọc",D34="Nghe",D34="Từ và kanji",D34="Giao tiếp"),OR(F34="Mới",F34="Ôn lại",F34="Hỗ trợ",F34="Luyện"),ISNUMBER(G34),ISNUMBER(H34),ISNUMBER(I34),ISNUMBER(J34),G34&gt;=0,H34&gt;=G34,I34&gt;=H34,I34&gt;0,J34&gt;=0,MOD(G34,1)=0,MOD(H34,1)=0,MOD(I34,1)=0,COUNTIFS($A$8:A34,A34,$D$8:D34,D34,$F$8:F34,F34)=1),"Hợp lệ","Kiểm tra/trùng"))</x:f>
      </x:c>
    </x:row>
    <x:row r="35" ht="27" customHeight="1">
      <x:c r="A35" s="83"/>
      <x:c r="B35" s="83"/>
      <x:c r="C35" s="83"/>
      <x:c r="D35" s="83"/>
      <x:c r="E35" s="83"/>
      <x:c r="F35" s="83"/>
      <x:c r="G35" s="83"/>
      <x:c r="H35" s="83"/>
      <x:c r="I35" s="83"/>
      <x:c r="J35" s="83"/>
      <x:c r="K35" s="83"/>
      <x:c r="L35" s="83"/>
      <x:c r="M35" s="75" t="str">
        <x:f>IF(COUNTA(A35:L35)=0,"",IF(AND(A35&lt;&gt;"",B35&lt;&gt;"",C35="N4",OR(D35="Ngữ pháp",D35="Đọc",D35="Nghe",D35="Từ và kanji",D35="Giao tiếp"),OR(F35="Mới",F35="Ôn lại",F35="Hỗ trợ",F35="Luyện"),ISNUMBER(G35),ISNUMBER(H35),ISNUMBER(I35),ISNUMBER(J35),G35&gt;=0,H35&gt;=G35,I35&gt;=H35,I35&gt;0,J35&gt;=0,MOD(G35,1)=0,MOD(H35,1)=0,MOD(I35,1)=0,COUNTIFS($A$8:A35,A35,$D$8:D35,D35,$F$8:F35,F35)=1),"Hợp lệ","Kiểm tra/trùng"))</x:f>
      </x:c>
    </x:row>
    <x:row r="36" ht="27" customHeight="1">
      <x:c r="A36" s="83"/>
      <x:c r="B36" s="83"/>
      <x:c r="C36" s="83"/>
      <x:c r="D36" s="83"/>
      <x:c r="E36" s="83"/>
      <x:c r="F36" s="83"/>
      <x:c r="G36" s="83"/>
      <x:c r="H36" s="83"/>
      <x:c r="I36" s="83"/>
      <x:c r="J36" s="83"/>
      <x:c r="K36" s="83"/>
      <x:c r="L36" s="83"/>
      <x:c r="M36" s="75" t="str">
        <x:f>IF(COUNTA(A36:L36)=0,"",IF(AND(A36&lt;&gt;"",B36&lt;&gt;"",C36="N4",OR(D36="Ngữ pháp",D36="Đọc",D36="Nghe",D36="Từ và kanji",D36="Giao tiếp"),OR(F36="Mới",F36="Ôn lại",F36="Hỗ trợ",F36="Luyện"),ISNUMBER(G36),ISNUMBER(H36),ISNUMBER(I36),ISNUMBER(J36),G36&gt;=0,H36&gt;=G36,I36&gt;=H36,I36&gt;0,J36&gt;=0,MOD(G36,1)=0,MOD(H36,1)=0,MOD(I36,1)=0,COUNTIFS($A$8:A36,A36,$D$8:D36,D36,$F$8:F36,F36)=1),"Hợp lệ","Kiểm tra/trùng"))</x:f>
      </x:c>
    </x:row>
    <x:row r="37" ht="27" customHeight="1">
      <x:c r="A37" s="83"/>
      <x:c r="B37" s="83"/>
      <x:c r="C37" s="83"/>
      <x:c r="D37" s="83"/>
      <x:c r="E37" s="83"/>
      <x:c r="F37" s="83"/>
      <x:c r="G37" s="83"/>
      <x:c r="H37" s="83"/>
      <x:c r="I37" s="83"/>
      <x:c r="J37" s="83"/>
      <x:c r="K37" s="83"/>
      <x:c r="L37" s="83"/>
      <x:c r="M37" s="75" t="str">
        <x:f>IF(COUNTA(A37:L37)=0,"",IF(AND(A37&lt;&gt;"",B37&lt;&gt;"",C37="N4",OR(D37="Ngữ pháp",D37="Đọc",D37="Nghe",D37="Từ và kanji",D37="Giao tiếp"),OR(F37="Mới",F37="Ôn lại",F37="Hỗ trợ",F37="Luyện"),ISNUMBER(G37),ISNUMBER(H37),ISNUMBER(I37),ISNUMBER(J37),G37&gt;=0,H37&gt;=G37,I37&gt;=H37,I37&gt;0,J37&gt;=0,MOD(G37,1)=0,MOD(H37,1)=0,MOD(I37,1)=0,COUNTIFS($A$8:A37,A37,$D$8:D37,D37,$F$8:F37,F37)=1),"Hợp lệ","Kiểm tra/trùng"))</x:f>
      </x:c>
    </x:row>
    <x:row r="38" ht="27" customHeight="1">
      <x:c r="A38" s="83"/>
      <x:c r="B38" s="83"/>
      <x:c r="C38" s="83"/>
      <x:c r="D38" s="83"/>
      <x:c r="E38" s="83"/>
      <x:c r="F38" s="83"/>
      <x:c r="G38" s="83"/>
      <x:c r="H38" s="83"/>
      <x:c r="I38" s="83"/>
      <x:c r="J38" s="83"/>
      <x:c r="K38" s="83"/>
      <x:c r="L38" s="83"/>
      <x:c r="M38" s="75" t="str">
        <x:f>IF(COUNTA(A38:L38)=0,"",IF(AND(A38&lt;&gt;"",B38&lt;&gt;"",C38="N4",OR(D38="Ngữ pháp",D38="Đọc",D38="Nghe",D38="Từ và kanji",D38="Giao tiếp"),OR(F38="Mới",F38="Ôn lại",F38="Hỗ trợ",F38="Luyện"),ISNUMBER(G38),ISNUMBER(H38),ISNUMBER(I38),ISNUMBER(J38),G38&gt;=0,H38&gt;=G38,I38&gt;=H38,I38&gt;0,J38&gt;=0,MOD(G38,1)=0,MOD(H38,1)=0,MOD(I38,1)=0,COUNTIFS($A$8:A38,A38,$D$8:D38,D38,$F$8:F38,F38)=1),"Hợp lệ","Kiểm tra/trùng"))</x:f>
      </x:c>
    </x:row>
    <x:row r="39" ht="27" customHeight="1">
      <x:c r="A39" s="83"/>
      <x:c r="B39" s="83"/>
      <x:c r="C39" s="83"/>
      <x:c r="D39" s="83"/>
      <x:c r="E39" s="83"/>
      <x:c r="F39" s="83"/>
      <x:c r="G39" s="83"/>
      <x:c r="H39" s="83"/>
      <x:c r="I39" s="83"/>
      <x:c r="J39" s="83"/>
      <x:c r="K39" s="83"/>
      <x:c r="L39" s="83"/>
      <x:c r="M39" s="75" t="str">
        <x:f>IF(COUNTA(A39:L39)=0,"",IF(AND(A39&lt;&gt;"",B39&lt;&gt;"",C39="N4",OR(D39="Ngữ pháp",D39="Đọc",D39="Nghe",D39="Từ và kanji",D39="Giao tiếp"),OR(F39="Mới",F39="Ôn lại",F39="Hỗ trợ",F39="Luyện"),ISNUMBER(G39),ISNUMBER(H39),ISNUMBER(I39),ISNUMBER(J39),G39&gt;=0,H39&gt;=G39,I39&gt;=H39,I39&gt;0,J39&gt;=0,MOD(G39,1)=0,MOD(H39,1)=0,MOD(I39,1)=0,COUNTIFS($A$8:A39,A39,$D$8:D39,D39,$F$8:F39,F39)=1),"Hợp lệ","Kiểm tra/trùng"))</x:f>
      </x:c>
    </x:row>
    <x:row r="40" ht="27" customHeight="1">
      <x:c r="A40" s="83"/>
      <x:c r="B40" s="83"/>
      <x:c r="C40" s="83"/>
      <x:c r="D40" s="83"/>
      <x:c r="E40" s="83"/>
      <x:c r="F40" s="83"/>
      <x:c r="G40" s="83"/>
      <x:c r="H40" s="83"/>
      <x:c r="I40" s="83"/>
      <x:c r="J40" s="83"/>
      <x:c r="K40" s="83"/>
      <x:c r="L40" s="83"/>
      <x:c r="M40" s="75" t="str">
        <x:f>IF(COUNTA(A40:L40)=0,"",IF(AND(A40&lt;&gt;"",B40&lt;&gt;"",C40="N4",OR(D40="Ngữ pháp",D40="Đọc",D40="Nghe",D40="Từ và kanji",D40="Giao tiếp"),OR(F40="Mới",F40="Ôn lại",F40="Hỗ trợ",F40="Luyện"),ISNUMBER(G40),ISNUMBER(H40),ISNUMBER(I40),ISNUMBER(J40),G40&gt;=0,H40&gt;=G40,I40&gt;=H40,I40&gt;0,J40&gt;=0,MOD(G40,1)=0,MOD(H40,1)=0,MOD(I40,1)=0,COUNTIFS($A$8:A40,A40,$D$8:D40,D40,$F$8:F40,F40)=1),"Hợp lệ","Kiểm tra/trùng"))</x:f>
      </x:c>
    </x:row>
    <x:row r="41" ht="27" customHeight="1">
      <x:c r="A41" s="83"/>
      <x:c r="B41" s="83"/>
      <x:c r="C41" s="83"/>
      <x:c r="D41" s="83"/>
      <x:c r="E41" s="83"/>
      <x:c r="F41" s="83"/>
      <x:c r="G41" s="83"/>
      <x:c r="H41" s="83"/>
      <x:c r="I41" s="83"/>
      <x:c r="J41" s="83"/>
      <x:c r="K41" s="83"/>
      <x:c r="L41" s="83"/>
      <x:c r="M41" s="75" t="str">
        <x:f>IF(COUNTA(A41:L41)=0,"",IF(AND(A41&lt;&gt;"",B41&lt;&gt;"",C41="N4",OR(D41="Ngữ pháp",D41="Đọc",D41="Nghe",D41="Từ và kanji",D41="Giao tiếp"),OR(F41="Mới",F41="Ôn lại",F41="Hỗ trợ",F41="Luyện"),ISNUMBER(G41),ISNUMBER(H41),ISNUMBER(I41),ISNUMBER(J41),G41&gt;=0,H41&gt;=G41,I41&gt;=H41,I41&gt;0,J41&gt;=0,MOD(G41,1)=0,MOD(H41,1)=0,MOD(I41,1)=0,COUNTIFS($A$8:A41,A41,$D$8:D41,D41,$F$8:F41,F41)=1),"Hợp lệ","Kiểm tra/trùng"))</x:f>
      </x:c>
    </x:row>
    <x:row r="42" ht="27" customHeight="1">
      <x:c r="A42" s="83"/>
      <x:c r="B42" s="83"/>
      <x:c r="C42" s="83"/>
      <x:c r="D42" s="83"/>
      <x:c r="E42" s="83"/>
      <x:c r="F42" s="83"/>
      <x:c r="G42" s="83"/>
      <x:c r="H42" s="83"/>
      <x:c r="I42" s="83"/>
      <x:c r="J42" s="83"/>
      <x:c r="K42" s="83"/>
      <x:c r="L42" s="83"/>
      <x:c r="M42" s="75" t="str">
        <x:f>IF(COUNTA(A42:L42)=0,"",IF(AND(A42&lt;&gt;"",B42&lt;&gt;"",C42="N4",OR(D42="Ngữ pháp",D42="Đọc",D42="Nghe",D42="Từ và kanji",D42="Giao tiếp"),OR(F42="Mới",F42="Ôn lại",F42="Hỗ trợ",F42="Luyện"),ISNUMBER(G42),ISNUMBER(H42),ISNUMBER(I42),ISNUMBER(J42),G42&gt;=0,H42&gt;=G42,I42&gt;=H42,I42&gt;0,J42&gt;=0,MOD(G42,1)=0,MOD(H42,1)=0,MOD(I42,1)=0,COUNTIFS($A$8:A42,A42,$D$8:D42,D42,$F$8:F42,F42)=1),"Hợp lệ","Kiểm tra/trùng"))</x:f>
      </x:c>
    </x:row>
    <x:row r="43" ht="27" customHeight="1">
      <x:c r="A43" s="83"/>
      <x:c r="B43" s="83"/>
      <x:c r="C43" s="83"/>
      <x:c r="D43" s="83"/>
      <x:c r="E43" s="83"/>
      <x:c r="F43" s="83"/>
      <x:c r="G43" s="83"/>
      <x:c r="H43" s="83"/>
      <x:c r="I43" s="83"/>
      <x:c r="J43" s="83"/>
      <x:c r="K43" s="83"/>
      <x:c r="L43" s="83"/>
      <x:c r="M43" s="75" t="str">
        <x:f>IF(COUNTA(A43:L43)=0,"",IF(AND(A43&lt;&gt;"",B43&lt;&gt;"",C43="N4",OR(D43="Ngữ pháp",D43="Đọc",D43="Nghe",D43="Từ và kanji",D43="Giao tiếp"),OR(F43="Mới",F43="Ôn lại",F43="Hỗ trợ",F43="Luyện"),ISNUMBER(G43),ISNUMBER(H43),ISNUMBER(I43),ISNUMBER(J43),G43&gt;=0,H43&gt;=G43,I43&gt;=H43,I43&gt;0,J43&gt;=0,MOD(G43,1)=0,MOD(H43,1)=0,MOD(I43,1)=0,COUNTIFS($A$8:A43,A43,$D$8:D43,D43,$F$8:F43,F43)=1),"Hợp lệ","Kiểm tra/trùng"))</x:f>
      </x:c>
    </x:row>
    <x:row r="44" ht="27" customHeight="1">
      <x:c r="A44" s="83"/>
      <x:c r="B44" s="83"/>
      <x:c r="C44" s="83"/>
      <x:c r="D44" s="83"/>
      <x:c r="E44" s="83"/>
      <x:c r="F44" s="83"/>
      <x:c r="G44" s="83"/>
      <x:c r="H44" s="83"/>
      <x:c r="I44" s="83"/>
      <x:c r="J44" s="83"/>
      <x:c r="K44" s="83"/>
      <x:c r="L44" s="83"/>
      <x:c r="M44" s="75" t="str">
        <x:f>IF(COUNTA(A44:L44)=0,"",IF(AND(A44&lt;&gt;"",B44&lt;&gt;"",C44="N4",OR(D44="Ngữ pháp",D44="Đọc",D44="Nghe",D44="Từ và kanji",D44="Giao tiếp"),OR(F44="Mới",F44="Ôn lại",F44="Hỗ trợ",F44="Luyện"),ISNUMBER(G44),ISNUMBER(H44),ISNUMBER(I44),ISNUMBER(J44),G44&gt;=0,H44&gt;=G44,I44&gt;=H44,I44&gt;0,J44&gt;=0,MOD(G44,1)=0,MOD(H44,1)=0,MOD(I44,1)=0,COUNTIFS($A$8:A44,A44,$D$8:D44,D44,$F$8:F44,F44)=1),"Hợp lệ","Kiểm tra/trùng"))</x:f>
      </x:c>
    </x:row>
    <x:row r="45" ht="27" customHeight="1">
      <x:c r="A45" s="83"/>
      <x:c r="B45" s="83"/>
      <x:c r="C45" s="83"/>
      <x:c r="D45" s="83"/>
      <x:c r="E45" s="83"/>
      <x:c r="F45" s="83"/>
      <x:c r="G45" s="83"/>
      <x:c r="H45" s="83"/>
      <x:c r="I45" s="83"/>
      <x:c r="J45" s="83"/>
      <x:c r="K45" s="83"/>
      <x:c r="L45" s="83"/>
      <x:c r="M45" s="75" t="str">
        <x:f>IF(COUNTA(A45:L45)=0,"",IF(AND(A45&lt;&gt;"",B45&lt;&gt;"",C45="N4",OR(D45="Ngữ pháp",D45="Đọc",D45="Nghe",D45="Từ và kanji",D45="Giao tiếp"),OR(F45="Mới",F45="Ôn lại",F45="Hỗ trợ",F45="Luyện"),ISNUMBER(G45),ISNUMBER(H45),ISNUMBER(I45),ISNUMBER(J45),G45&gt;=0,H45&gt;=G45,I45&gt;=H45,I45&gt;0,J45&gt;=0,MOD(G45,1)=0,MOD(H45,1)=0,MOD(I45,1)=0,COUNTIFS($A$8:A45,A45,$D$8:D45,D45,$F$8:F45,F45)=1),"Hợp lệ","Kiểm tra/trùng"))</x:f>
      </x:c>
    </x:row>
    <x:row r="46" ht="27" customHeight="1">
      <x:c r="A46" s="83"/>
      <x:c r="B46" s="83"/>
      <x:c r="C46" s="83"/>
      <x:c r="D46" s="83"/>
      <x:c r="E46" s="83"/>
      <x:c r="F46" s="83"/>
      <x:c r="G46" s="83"/>
      <x:c r="H46" s="83"/>
      <x:c r="I46" s="83"/>
      <x:c r="J46" s="83"/>
      <x:c r="K46" s="83"/>
      <x:c r="L46" s="83"/>
      <x:c r="M46" s="75" t="str">
        <x:f>IF(COUNTA(A46:L46)=0,"",IF(AND(A46&lt;&gt;"",B46&lt;&gt;"",C46="N4",OR(D46="Ngữ pháp",D46="Đọc",D46="Nghe",D46="Từ và kanji",D46="Giao tiếp"),OR(F46="Mới",F46="Ôn lại",F46="Hỗ trợ",F46="Luyện"),ISNUMBER(G46),ISNUMBER(H46),ISNUMBER(I46),ISNUMBER(J46),G46&gt;=0,H46&gt;=G46,I46&gt;=H46,I46&gt;0,J46&gt;=0,MOD(G46,1)=0,MOD(H46,1)=0,MOD(I46,1)=0,COUNTIFS($A$8:A46,A46,$D$8:D46,D46,$F$8:F46,F46)=1),"Hợp lệ","Kiểm tra/trùng"))</x:f>
      </x:c>
    </x:row>
    <x:row r="47" ht="27" customHeight="1">
      <x:c r="A47" s="83"/>
      <x:c r="B47" s="83"/>
      <x:c r="C47" s="83"/>
      <x:c r="D47" s="83"/>
      <x:c r="E47" s="83"/>
      <x:c r="F47" s="83"/>
      <x:c r="G47" s="83"/>
      <x:c r="H47" s="83"/>
      <x:c r="I47" s="83"/>
      <x:c r="J47" s="83"/>
      <x:c r="K47" s="83"/>
      <x:c r="L47" s="83"/>
      <x:c r="M47" s="75" t="str">
        <x:f>IF(COUNTA(A47:L47)=0,"",IF(AND(A47&lt;&gt;"",B47&lt;&gt;"",C47="N4",OR(D47="Ngữ pháp",D47="Đọc",D47="Nghe",D47="Từ và kanji",D47="Giao tiếp"),OR(F47="Mới",F47="Ôn lại",F47="Hỗ trợ",F47="Luyện"),ISNUMBER(G47),ISNUMBER(H47),ISNUMBER(I47),ISNUMBER(J47),G47&gt;=0,H47&gt;=G47,I47&gt;=H47,I47&gt;0,J47&gt;=0,MOD(G47,1)=0,MOD(H47,1)=0,MOD(I47,1)=0,COUNTIFS($A$8:A47,A47,$D$8:D47,D47,$F$8:F47,F47)=1),"Hợp lệ","Kiểm tra/trùng"))</x:f>
      </x:c>
    </x:row>
    <x:row r="48" ht="27" customHeight="1">
      <x:c r="A48" s="83"/>
      <x:c r="B48" s="83"/>
      <x:c r="C48" s="83"/>
      <x:c r="D48" s="83"/>
      <x:c r="E48" s="83"/>
      <x:c r="F48" s="83"/>
      <x:c r="G48" s="83"/>
      <x:c r="H48" s="83"/>
      <x:c r="I48" s="83"/>
      <x:c r="J48" s="83"/>
      <x:c r="K48" s="83"/>
      <x:c r="L48" s="83"/>
      <x:c r="M48" s="75" t="str">
        <x:f>IF(COUNTA(A48:L48)=0,"",IF(AND(A48&lt;&gt;"",B48&lt;&gt;"",C48="N4",OR(D48="Ngữ pháp",D48="Đọc",D48="Nghe",D48="Từ và kanji",D48="Giao tiếp"),OR(F48="Mới",F48="Ôn lại",F48="Hỗ trợ",F48="Luyện"),ISNUMBER(G48),ISNUMBER(H48),ISNUMBER(I48),ISNUMBER(J48),G48&gt;=0,H48&gt;=G48,I48&gt;=H48,I48&gt;0,J48&gt;=0,MOD(G48,1)=0,MOD(H48,1)=0,MOD(I48,1)=0,COUNTIFS($A$8:A48,A48,$D$8:D48,D48,$F$8:F48,F48)=1),"Hợp lệ","Kiểm tra/trùng"))</x:f>
      </x:c>
    </x:row>
    <x:row r="49" ht="27" customHeight="1">
      <x:c r="A49" s="83"/>
      <x:c r="B49" s="83"/>
      <x:c r="C49" s="83"/>
      <x:c r="D49" s="83"/>
      <x:c r="E49" s="83"/>
      <x:c r="F49" s="83"/>
      <x:c r="G49" s="83"/>
      <x:c r="H49" s="83"/>
      <x:c r="I49" s="83"/>
      <x:c r="J49" s="83"/>
      <x:c r="K49" s="83"/>
      <x:c r="L49" s="83"/>
      <x:c r="M49" s="75" t="str">
        <x:f>IF(COUNTA(A49:L49)=0,"",IF(AND(A49&lt;&gt;"",B49&lt;&gt;"",C49="N4",OR(D49="Ngữ pháp",D49="Đọc",D49="Nghe",D49="Từ và kanji",D49="Giao tiếp"),OR(F49="Mới",F49="Ôn lại",F49="Hỗ trợ",F49="Luyện"),ISNUMBER(G49),ISNUMBER(H49),ISNUMBER(I49),ISNUMBER(J49),G49&gt;=0,H49&gt;=G49,I49&gt;=H49,I49&gt;0,J49&gt;=0,MOD(G49,1)=0,MOD(H49,1)=0,MOD(I49,1)=0,COUNTIFS($A$8:A49,A49,$D$8:D49,D49,$F$8:F49,F49)=1),"Hợp lệ","Kiểm tra/trùng"))</x:f>
      </x:c>
    </x:row>
    <x:row r="50" ht="27" customHeight="1">
      <x:c r="A50" s="83"/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75" t="str">
        <x:f>IF(COUNTA(A50:L50)=0,"",IF(AND(A50&lt;&gt;"",B50&lt;&gt;"",C50="N4",OR(D50="Ngữ pháp",D50="Đọc",D50="Nghe",D50="Từ và kanji",D50="Giao tiếp"),OR(F50="Mới",F50="Ôn lại",F50="Hỗ trợ",F50="Luyện"),ISNUMBER(G50),ISNUMBER(H50),ISNUMBER(I50),ISNUMBER(J50),G50&gt;=0,H50&gt;=G50,I50&gt;=H50,I50&gt;0,J50&gt;=0,MOD(G50,1)=0,MOD(H50,1)=0,MOD(I50,1)=0,COUNTIFS($A$8:A50,A50,$D$8:D50,D50,$F$8:F50,F50)=1),"Hợp lệ","Kiểm tra/trùng"))</x:f>
      </x:c>
    </x:row>
    <x:row r="51" ht="27" customHeight="1">
      <x:c r="A51" s="83"/>
      <x:c r="B51" s="83"/>
      <x:c r="C51" s="83"/>
      <x:c r="D51" s="83"/>
      <x:c r="E51" s="83"/>
      <x:c r="F51" s="83"/>
      <x:c r="G51" s="83"/>
      <x:c r="H51" s="83"/>
      <x:c r="I51" s="83"/>
      <x:c r="J51" s="83"/>
      <x:c r="K51" s="83"/>
      <x:c r="L51" s="83"/>
      <x:c r="M51" s="75" t="str">
        <x:f>IF(COUNTA(A51:L51)=0,"",IF(AND(A51&lt;&gt;"",B51&lt;&gt;"",C51="N4",OR(D51="Ngữ pháp",D51="Đọc",D51="Nghe",D51="Từ và kanji",D51="Giao tiếp"),OR(F51="Mới",F51="Ôn lại",F51="Hỗ trợ",F51="Luyện"),ISNUMBER(G51),ISNUMBER(H51),ISNUMBER(I51),ISNUMBER(J51),G51&gt;=0,H51&gt;=G51,I51&gt;=H51,I51&gt;0,J51&gt;=0,MOD(G51,1)=0,MOD(H51,1)=0,MOD(I51,1)=0,COUNTIFS($A$8:A51,A51,$D$8:D51,D51,$F$8:F51,F51)=1),"Hợp lệ","Kiểm tra/trùng"))</x:f>
      </x:c>
    </x:row>
    <x:row r="52" ht="27" customHeight="1">
      <x:c r="A52" s="83"/>
      <x:c r="B52" s="83"/>
      <x:c r="C52" s="83"/>
      <x:c r="D52" s="83"/>
      <x:c r="E52" s="83"/>
      <x:c r="F52" s="83"/>
      <x:c r="G52" s="83"/>
      <x:c r="H52" s="83"/>
      <x:c r="I52" s="83"/>
      <x:c r="J52" s="83"/>
      <x:c r="K52" s="83"/>
      <x:c r="L52" s="83"/>
      <x:c r="M52" s="75" t="str">
        <x:f>IF(COUNTA(A52:L52)=0,"",IF(AND(A52&lt;&gt;"",B52&lt;&gt;"",C52="N4",OR(D52="Ngữ pháp",D52="Đọc",D52="Nghe",D52="Từ và kanji",D52="Giao tiếp"),OR(F52="Mới",F52="Ôn lại",F52="Hỗ trợ",F52="Luyện"),ISNUMBER(G52),ISNUMBER(H52),ISNUMBER(I52),ISNUMBER(J52),G52&gt;=0,H52&gt;=G52,I52&gt;=H52,I52&gt;0,J52&gt;=0,MOD(G52,1)=0,MOD(H52,1)=0,MOD(I52,1)=0,COUNTIFS($A$8:A52,A52,$D$8:D52,D52,$F$8:F52,F52)=1),"Hợp lệ","Kiểm tra/trùng"))</x:f>
      </x:c>
    </x:row>
    <x:row r="53" ht="27" customHeight="1">
      <x:c r="A53" s="83"/>
      <x:c r="B53" s="83"/>
      <x:c r="C53" s="83"/>
      <x:c r="D53" s="83"/>
      <x:c r="E53" s="83"/>
      <x:c r="F53" s="83"/>
      <x:c r="G53" s="83"/>
      <x:c r="H53" s="83"/>
      <x:c r="I53" s="83"/>
      <x:c r="J53" s="83"/>
      <x:c r="K53" s="83"/>
      <x:c r="L53" s="83"/>
      <x:c r="M53" s="75" t="str">
        <x:f>IF(COUNTA(A53:L53)=0,"",IF(AND(A53&lt;&gt;"",B53&lt;&gt;"",C53="N4",OR(D53="Ngữ pháp",D53="Đọc",D53="Nghe",D53="Từ và kanji",D53="Giao tiếp"),OR(F53="Mới",F53="Ôn lại",F53="Hỗ trợ",F53="Luyện"),ISNUMBER(G53),ISNUMBER(H53),ISNUMBER(I53),ISNUMBER(J53),G53&gt;=0,H53&gt;=G53,I53&gt;=H53,I53&gt;0,J53&gt;=0,MOD(G53,1)=0,MOD(H53,1)=0,MOD(I53,1)=0,COUNTIFS($A$8:A53,A53,$D$8:D53,D53,$F$8:F53,F53)=1),"Hợp lệ","Kiểm tra/trùng"))</x:f>
      </x:c>
    </x:row>
    <x:row r="54" ht="27" customHeight="1">
      <x:c r="A54" s="83"/>
      <x:c r="B54" s="83"/>
      <x:c r="C54" s="83"/>
      <x:c r="D54" s="83"/>
      <x:c r="E54" s="83"/>
      <x:c r="F54" s="83"/>
      <x:c r="G54" s="83"/>
      <x:c r="H54" s="83"/>
      <x:c r="I54" s="83"/>
      <x:c r="J54" s="83"/>
      <x:c r="K54" s="83"/>
      <x:c r="L54" s="83"/>
      <x:c r="M54" s="75" t="str">
        <x:f>IF(COUNTA(A54:L54)=0,"",IF(AND(A54&lt;&gt;"",B54&lt;&gt;"",C54="N4",OR(D54="Ngữ pháp",D54="Đọc",D54="Nghe",D54="Từ và kanji",D54="Giao tiếp"),OR(F54="Mới",F54="Ôn lại",F54="Hỗ trợ",F54="Luyện"),ISNUMBER(G54),ISNUMBER(H54),ISNUMBER(I54),ISNUMBER(J54),G54&gt;=0,H54&gt;=G54,I54&gt;=H54,I54&gt;0,J54&gt;=0,MOD(G54,1)=0,MOD(H54,1)=0,MOD(I54,1)=0,COUNTIFS($A$8:A54,A54,$D$8:D54,D54,$F$8:F54,F54)=1),"Hợp lệ","Kiểm tra/trùng"))</x:f>
      </x:c>
    </x:row>
    <x:row r="55" ht="27" customHeight="1">
      <x:c r="A55" s="83"/>
      <x:c r="B55" s="83"/>
      <x:c r="C55" s="83"/>
      <x:c r="D55" s="83"/>
      <x:c r="E55" s="83"/>
      <x:c r="F55" s="83"/>
      <x:c r="G55" s="83"/>
      <x:c r="H55" s="83"/>
      <x:c r="I55" s="83"/>
      <x:c r="J55" s="83"/>
      <x:c r="K55" s="83"/>
      <x:c r="L55" s="83"/>
      <x:c r="M55" s="75" t="str">
        <x:f>IF(COUNTA(A55:L55)=0,"",IF(AND(A55&lt;&gt;"",B55&lt;&gt;"",C55="N4",OR(D55="Ngữ pháp",D55="Đọc",D55="Nghe",D55="Từ và kanji",D55="Giao tiếp"),OR(F55="Mới",F55="Ôn lại",F55="Hỗ trợ",F55="Luyện"),ISNUMBER(G55),ISNUMBER(H55),ISNUMBER(I55),ISNUMBER(J55),G55&gt;=0,H55&gt;=G55,I55&gt;=H55,I55&gt;0,J55&gt;=0,MOD(G55,1)=0,MOD(H55,1)=0,MOD(I55,1)=0,COUNTIFS($A$8:A55,A55,$D$8:D55,D55,$F$8:F55,F55)=1),"Hợp lệ","Kiểm tra/trùng"))</x:f>
      </x:c>
    </x:row>
    <x:row r="56" ht="27" customHeight="1">
      <x:c r="A56" s="83"/>
      <x:c r="B56" s="83"/>
      <x:c r="C56" s="83"/>
      <x:c r="D56" s="83"/>
      <x:c r="E56" s="83"/>
      <x:c r="F56" s="83"/>
      <x:c r="G56" s="83"/>
      <x:c r="H56" s="83"/>
      <x:c r="I56" s="83"/>
      <x:c r="J56" s="83"/>
      <x:c r="K56" s="83"/>
      <x:c r="L56" s="83"/>
      <x:c r="M56" s="75" t="str">
        <x:f>IF(COUNTA(A56:L56)=0,"",IF(AND(A56&lt;&gt;"",B56&lt;&gt;"",C56="N4",OR(D56="Ngữ pháp",D56="Đọc",D56="Nghe",D56="Từ và kanji",D56="Giao tiếp"),OR(F56="Mới",F56="Ôn lại",F56="Hỗ trợ",F56="Luyện"),ISNUMBER(G56),ISNUMBER(H56),ISNUMBER(I56),ISNUMBER(J56),G56&gt;=0,H56&gt;=G56,I56&gt;=H56,I56&gt;0,J56&gt;=0,MOD(G56,1)=0,MOD(H56,1)=0,MOD(I56,1)=0,COUNTIFS($A$8:A56,A56,$D$8:D56,D56,$F$8:F56,F56)=1),"Hợp lệ","Kiểm tra/trùng"))</x:f>
      </x:c>
    </x:row>
    <x:row r="57" ht="27" customHeight="1">
      <x:c r="A57" s="83"/>
      <x:c r="B57" s="83"/>
      <x:c r="C57" s="83"/>
      <x:c r="D57" s="83"/>
      <x:c r="E57" s="83"/>
      <x:c r="F57" s="83"/>
      <x:c r="G57" s="83"/>
      <x:c r="H57" s="83"/>
      <x:c r="I57" s="83"/>
      <x:c r="J57" s="83"/>
      <x:c r="K57" s="83"/>
      <x:c r="L57" s="83"/>
      <x:c r="M57" s="75" t="str">
        <x:f>IF(COUNTA(A57:L57)=0,"",IF(AND(A57&lt;&gt;"",B57&lt;&gt;"",C57="N4",OR(D57="Ngữ pháp",D57="Đọc",D57="Nghe",D57="Từ và kanji",D57="Giao tiếp"),OR(F57="Mới",F57="Ôn lại",F57="Hỗ trợ",F57="Luyện"),ISNUMBER(G57),ISNUMBER(H57),ISNUMBER(I57),ISNUMBER(J57),G57&gt;=0,H57&gt;=G57,I57&gt;=H57,I57&gt;0,J57&gt;=0,MOD(G57,1)=0,MOD(H57,1)=0,MOD(I57,1)=0,COUNTIFS($A$8:A57,A57,$D$8:D57,D57,$F$8:F57,F57)=1),"Hợp lệ","Kiểm tra/trùng"))</x:f>
      </x:c>
    </x:row>
    <x:row r="58" ht="27" customHeight="1">
      <x:c r="A58" s="83"/>
      <x:c r="B58" s="83"/>
      <x:c r="C58" s="83"/>
      <x:c r="D58" s="83"/>
      <x:c r="E58" s="83"/>
      <x:c r="F58" s="83"/>
      <x:c r="G58" s="83"/>
      <x:c r="H58" s="83"/>
      <x:c r="I58" s="83"/>
      <x:c r="J58" s="83"/>
      <x:c r="K58" s="83"/>
      <x:c r="L58" s="83"/>
      <x:c r="M58" s="75" t="str">
        <x:f>IF(COUNTA(A58:L58)=0,"",IF(AND(A58&lt;&gt;"",B58&lt;&gt;"",C58="N4",OR(D58="Ngữ pháp",D58="Đọc",D58="Nghe",D58="Từ và kanji",D58="Giao tiếp"),OR(F58="Mới",F58="Ôn lại",F58="Hỗ trợ",F58="Luyện"),ISNUMBER(G58),ISNUMBER(H58),ISNUMBER(I58),ISNUMBER(J58),G58&gt;=0,H58&gt;=G58,I58&gt;=H58,I58&gt;0,J58&gt;=0,MOD(G58,1)=0,MOD(H58,1)=0,MOD(I58,1)=0,COUNTIFS($A$8:A58,A58,$D$8:D58,D58,$F$8:F58,F58)=1),"Hợp lệ","Kiểm tra/trùng"))</x:f>
      </x:c>
    </x:row>
    <x:row r="59" ht="27" customHeight="1">
      <x:c r="A59" s="83"/>
      <x:c r="B59" s="83"/>
      <x:c r="C59" s="83"/>
      <x:c r="D59" s="83"/>
      <x:c r="E59" s="83"/>
      <x:c r="F59" s="83"/>
      <x:c r="G59" s="83"/>
      <x:c r="H59" s="83"/>
      <x:c r="I59" s="83"/>
      <x:c r="J59" s="83"/>
      <x:c r="K59" s="83"/>
      <x:c r="L59" s="83"/>
      <x:c r="M59" s="75" t="str">
        <x:f>IF(COUNTA(A59:L59)=0,"",IF(AND(A59&lt;&gt;"",B59&lt;&gt;"",C59="N4",OR(D59="Ngữ pháp",D59="Đọc",D59="Nghe",D59="Từ và kanji",D59="Giao tiếp"),OR(F59="Mới",F59="Ôn lại",F59="Hỗ trợ",F59="Luyện"),ISNUMBER(G59),ISNUMBER(H59),ISNUMBER(I59),ISNUMBER(J59),G59&gt;=0,H59&gt;=G59,I59&gt;=H59,I59&gt;0,J59&gt;=0,MOD(G59,1)=0,MOD(H59,1)=0,MOD(I59,1)=0,COUNTIFS($A$8:A59,A59,$D$8:D59,D59,$F$8:F59,F59)=1),"Hợp lệ","Kiểm tra/trùng"))</x:f>
      </x:c>
    </x:row>
    <x:row r="60" ht="27" customHeight="1">
      <x:c r="A60" s="83"/>
      <x:c r="B60" s="83"/>
      <x:c r="C60" s="83"/>
      <x:c r="D60" s="83"/>
      <x:c r="E60" s="83"/>
      <x:c r="F60" s="83"/>
      <x:c r="G60" s="83"/>
      <x:c r="H60" s="83"/>
      <x:c r="I60" s="83"/>
      <x:c r="J60" s="83"/>
      <x:c r="K60" s="83"/>
      <x:c r="L60" s="83"/>
      <x:c r="M60" s="75" t="str">
        <x:f>IF(COUNTA(A60:L60)=0,"",IF(AND(A60&lt;&gt;"",B60&lt;&gt;"",C60="N4",OR(D60="Ngữ pháp",D60="Đọc",D60="Nghe",D60="Từ và kanji",D60="Giao tiếp"),OR(F60="Mới",F60="Ôn lại",F60="Hỗ trợ",F60="Luyện"),ISNUMBER(G60),ISNUMBER(H60),ISNUMBER(I60),ISNUMBER(J60),G60&gt;=0,H60&gt;=G60,I60&gt;=H60,I60&gt;0,J60&gt;=0,MOD(G60,1)=0,MOD(H60,1)=0,MOD(I60,1)=0,COUNTIFS($A$8:A60,A60,$D$8:D60,D60,$F$8:F60,F60)=1),"Hợp lệ","Kiểm tra/trùng"))</x:f>
      </x:c>
    </x:row>
    <x:row r="61" ht="27" customHeight="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75" t="str">
        <x:f>IF(COUNTA(A61:L61)=0,"",IF(AND(A61&lt;&gt;"",B61&lt;&gt;"",C61="N4",OR(D61="Ngữ pháp",D61="Đọc",D61="Nghe",D61="Từ và kanji",D61="Giao tiếp"),OR(F61="Mới",F61="Ôn lại",F61="Hỗ trợ",F61="Luyện"),ISNUMBER(G61),ISNUMBER(H61),ISNUMBER(I61),ISNUMBER(J61),G61&gt;=0,H61&gt;=G61,I61&gt;=H61,I61&gt;0,J61&gt;=0,MOD(G61,1)=0,MOD(H61,1)=0,MOD(I61,1)=0,COUNTIFS($A$8:A61,A61,$D$8:D61,D61,$F$8:F61,F61)=1),"Hợp lệ","Kiểm tra/trùng"))</x:f>
      </x:c>
    </x:row>
    <x:row r="62" ht="27" customHeight="1">
      <x:c r="A62" s="83"/>
      <x:c r="B62" s="83"/>
      <x:c r="C62" s="83"/>
      <x:c r="D62" s="83"/>
      <x:c r="E62" s="83"/>
      <x:c r="F62" s="83"/>
      <x:c r="G62" s="83"/>
      <x:c r="H62" s="83"/>
      <x:c r="I62" s="83"/>
      <x:c r="J62" s="83"/>
      <x:c r="K62" s="83"/>
      <x:c r="L62" s="83"/>
      <x:c r="M62" s="75" t="str">
        <x:f>IF(COUNTA(A62:L62)=0,"",IF(AND(A62&lt;&gt;"",B62&lt;&gt;"",C62="N4",OR(D62="Ngữ pháp",D62="Đọc",D62="Nghe",D62="Từ và kanji",D62="Giao tiếp"),OR(F62="Mới",F62="Ôn lại",F62="Hỗ trợ",F62="Luyện"),ISNUMBER(G62),ISNUMBER(H62),ISNUMBER(I62),ISNUMBER(J62),G62&gt;=0,H62&gt;=G62,I62&gt;=H62,I62&gt;0,J62&gt;=0,MOD(G62,1)=0,MOD(H62,1)=0,MOD(I62,1)=0,COUNTIFS($A$8:A62,A62,$D$8:D62,D62,$F$8:F62,F62)=1),"Hợp lệ","Kiểm tra/trùng"))</x:f>
      </x:c>
    </x:row>
    <x:row r="63" ht="27" customHeight="1">
      <x:c r="A63" s="83"/>
      <x:c r="B63" s="83"/>
      <x:c r="C63" s="83"/>
      <x:c r="D63" s="83"/>
      <x:c r="E63" s="83"/>
      <x:c r="F63" s="83"/>
      <x:c r="G63" s="83"/>
      <x:c r="H63" s="83"/>
      <x:c r="I63" s="83"/>
      <x:c r="J63" s="83"/>
      <x:c r="K63" s="83"/>
      <x:c r="L63" s="83"/>
      <x:c r="M63" s="75" t="str">
        <x:f>IF(COUNTA(A63:L63)=0,"",IF(AND(A63&lt;&gt;"",B63&lt;&gt;"",C63="N4",OR(D63="Ngữ pháp",D63="Đọc",D63="Nghe",D63="Từ và kanji",D63="Giao tiếp"),OR(F63="Mới",F63="Ôn lại",F63="Hỗ trợ",F63="Luyện"),ISNUMBER(G63),ISNUMBER(H63),ISNUMBER(I63),ISNUMBER(J63),G63&gt;=0,H63&gt;=G63,I63&gt;=H63,I63&gt;0,J63&gt;=0,MOD(G63,1)=0,MOD(H63,1)=0,MOD(I63,1)=0,COUNTIFS($A$8:A63,A63,$D$8:D63,D63,$F$8:F63,F63)=1),"Hợp lệ","Kiểm tra/trùng"))</x:f>
      </x:c>
    </x:row>
    <x:row r="64" ht="27" customHeight="1">
      <x:c r="A64" s="83"/>
      <x:c r="B64" s="83"/>
      <x:c r="C64" s="83"/>
      <x:c r="D64" s="83"/>
      <x:c r="E64" s="83"/>
      <x:c r="F64" s="83"/>
      <x:c r="G64" s="83"/>
      <x:c r="H64" s="83"/>
      <x:c r="I64" s="83"/>
      <x:c r="J64" s="83"/>
      <x:c r="K64" s="83"/>
      <x:c r="L64" s="83"/>
      <x:c r="M64" s="75" t="str">
        <x:f>IF(COUNTA(A64:L64)=0,"",IF(AND(A64&lt;&gt;"",B64&lt;&gt;"",C64="N4",OR(D64="Ngữ pháp",D64="Đọc",D64="Nghe",D64="Từ và kanji",D64="Giao tiếp"),OR(F64="Mới",F64="Ôn lại",F64="Hỗ trợ",F64="Luyện"),ISNUMBER(G64),ISNUMBER(H64),ISNUMBER(I64),ISNUMBER(J64),G64&gt;=0,H64&gt;=G64,I64&gt;=H64,I64&gt;0,J64&gt;=0,MOD(G64,1)=0,MOD(H64,1)=0,MOD(I64,1)=0,COUNTIFS($A$8:A64,A64,$D$8:D64,D64,$F$8:F64,F64)=1),"Hợp lệ","Kiểm tra/trùng"))</x:f>
      </x:c>
    </x:row>
    <x:row r="65" ht="27" customHeight="1">
      <x:c r="A65" s="83"/>
      <x:c r="B65" s="83"/>
      <x:c r="C65" s="83"/>
      <x:c r="D65" s="83"/>
      <x:c r="E65" s="83"/>
      <x:c r="F65" s="83"/>
      <x:c r="G65" s="83"/>
      <x:c r="H65" s="83"/>
      <x:c r="I65" s="83"/>
      <x:c r="J65" s="83"/>
      <x:c r="K65" s="83"/>
      <x:c r="L65" s="83"/>
      <x:c r="M65" s="75" t="str">
        <x:f>IF(COUNTA(A65:L65)=0,"",IF(AND(A65&lt;&gt;"",B65&lt;&gt;"",C65="N4",OR(D65="Ngữ pháp",D65="Đọc",D65="Nghe",D65="Từ và kanji",D65="Giao tiếp"),OR(F65="Mới",F65="Ôn lại",F65="Hỗ trợ",F65="Luyện"),ISNUMBER(G65),ISNUMBER(H65),ISNUMBER(I65),ISNUMBER(J65),G65&gt;=0,H65&gt;=G65,I65&gt;=H65,I65&gt;0,J65&gt;=0,MOD(G65,1)=0,MOD(H65,1)=0,MOD(I65,1)=0,COUNTIFS($A$8:A65,A65,$D$8:D65,D65,$F$8:F65,F65)=1),"Hợp lệ","Kiểm tra/trùng"))</x:f>
      </x:c>
    </x:row>
    <x:row r="66" ht="27" customHeight="1">
      <x:c r="A66" s="83"/>
      <x:c r="B66" s="83"/>
      <x:c r="C66" s="83"/>
      <x:c r="D66" s="83"/>
      <x:c r="E66" s="83"/>
      <x:c r="F66" s="83"/>
      <x:c r="G66" s="83"/>
      <x:c r="H66" s="83"/>
      <x:c r="I66" s="83"/>
      <x:c r="J66" s="83"/>
      <x:c r="K66" s="83"/>
      <x:c r="L66" s="83"/>
      <x:c r="M66" s="75" t="str">
        <x:f>IF(COUNTA(A66:L66)=0,"",IF(AND(A66&lt;&gt;"",B66&lt;&gt;"",C66="N4",OR(D66="Ngữ pháp",D66="Đọc",D66="Nghe",D66="Từ và kanji",D66="Giao tiếp"),OR(F66="Mới",F66="Ôn lại",F66="Hỗ trợ",F66="Luyện"),ISNUMBER(G66),ISNUMBER(H66),ISNUMBER(I66),ISNUMBER(J66),G66&gt;=0,H66&gt;=G66,I66&gt;=H66,I66&gt;0,J66&gt;=0,MOD(G66,1)=0,MOD(H66,1)=0,MOD(I66,1)=0,COUNTIFS($A$8:A66,A66,$D$8:D66,D66,$F$8:F66,F66)=1),"Hợp lệ","Kiểm tra/trùng"))</x:f>
      </x:c>
    </x:row>
    <x:row r="67" ht="27" customHeight="1">
      <x:c r="A67" s="83"/>
      <x:c r="B67" s="83"/>
      <x:c r="C67" s="83"/>
      <x:c r="D67" s="83"/>
      <x:c r="E67" s="83"/>
      <x:c r="F67" s="83"/>
      <x:c r="G67" s="83"/>
      <x:c r="H67" s="83"/>
      <x:c r="I67" s="83"/>
      <x:c r="J67" s="83"/>
      <x:c r="K67" s="83"/>
      <x:c r="L67" s="83"/>
      <x:c r="M67" s="75" t="str">
        <x:f>IF(COUNTA(A67:L67)=0,"",IF(AND(A67&lt;&gt;"",B67&lt;&gt;"",C67="N4",OR(D67="Ngữ pháp",D67="Đọc",D67="Nghe",D67="Từ và kanji",D67="Giao tiếp"),OR(F67="Mới",F67="Ôn lại",F67="Hỗ trợ",F67="Luyện"),ISNUMBER(G67),ISNUMBER(H67),ISNUMBER(I67),ISNUMBER(J67),G67&gt;=0,H67&gt;=G67,I67&gt;=H67,I67&gt;0,J67&gt;=0,MOD(G67,1)=0,MOD(H67,1)=0,MOD(I67,1)=0,COUNTIFS($A$8:A67,A67,$D$8:D67,D67,$F$8:F67,F67)=1),"Hợp lệ","Kiểm tra/trùng"))</x:f>
      </x:c>
    </x:row>
    <x:row r="68" ht="27" customHeight="1">
      <x:c r="A68" s="83"/>
      <x:c r="B68" s="83"/>
      <x:c r="C68" s="83"/>
      <x:c r="D68" s="83"/>
      <x:c r="E68" s="83"/>
      <x:c r="F68" s="83"/>
      <x:c r="G68" s="83"/>
      <x:c r="H68" s="83"/>
      <x:c r="I68" s="83"/>
      <x:c r="J68" s="83"/>
      <x:c r="K68" s="83"/>
      <x:c r="L68" s="83"/>
      <x:c r="M68" s="75" t="str">
        <x:f>IF(COUNTA(A68:L68)=0,"",IF(AND(A68&lt;&gt;"",B68&lt;&gt;"",C68="N4",OR(D68="Ngữ pháp",D68="Đọc",D68="Nghe",D68="Từ và kanji",D68="Giao tiếp"),OR(F68="Mới",F68="Ôn lại",F68="Hỗ trợ",F68="Luyện"),ISNUMBER(G68),ISNUMBER(H68),ISNUMBER(I68),ISNUMBER(J68),G68&gt;=0,H68&gt;=G68,I68&gt;=H68,I68&gt;0,J68&gt;=0,MOD(G68,1)=0,MOD(H68,1)=0,MOD(I68,1)=0,COUNTIFS($A$8:A68,A68,$D$8:D68,D68,$F$8:F68,F68)=1),"Hợp lệ","Kiểm tra/trùng"))</x:f>
      </x:c>
    </x:row>
    <x:row r="69" ht="27" customHeight="1">
      <x:c r="A69" s="83"/>
      <x:c r="B69" s="83"/>
      <x:c r="C69" s="83"/>
      <x:c r="D69" s="83"/>
      <x:c r="E69" s="83"/>
      <x:c r="F69" s="83"/>
      <x:c r="G69" s="83"/>
      <x:c r="H69" s="83"/>
      <x:c r="I69" s="83"/>
      <x:c r="J69" s="83"/>
      <x:c r="K69" s="83"/>
      <x:c r="L69" s="83"/>
      <x:c r="M69" s="75" t="str">
        <x:f>IF(COUNTA(A69:L69)=0,"",IF(AND(A69&lt;&gt;"",B69&lt;&gt;"",C69="N4",OR(D69="Ngữ pháp",D69="Đọc",D69="Nghe",D69="Từ và kanji",D69="Giao tiếp"),OR(F69="Mới",F69="Ôn lại",F69="Hỗ trợ",F69="Luyện"),ISNUMBER(G69),ISNUMBER(H69),ISNUMBER(I69),ISNUMBER(J69),G69&gt;=0,H69&gt;=G69,I69&gt;=H69,I69&gt;0,J69&gt;=0,MOD(G69,1)=0,MOD(H69,1)=0,MOD(I69,1)=0,COUNTIFS($A$8:A69,A69,$D$8:D69,D69,$F$8:F69,F69)=1),"Hợp lệ","Kiểm tra/trùng"))</x:f>
      </x:c>
    </x:row>
    <x:row r="70" ht="27" customHeight="1">
      <x:c r="A70" s="83"/>
      <x:c r="B70" s="83"/>
      <x:c r="C70" s="83"/>
      <x:c r="D70" s="83"/>
      <x:c r="E70" s="83"/>
      <x:c r="F70" s="83"/>
      <x:c r="G70" s="83"/>
      <x:c r="H70" s="83"/>
      <x:c r="I70" s="83"/>
      <x:c r="J70" s="83"/>
      <x:c r="K70" s="83"/>
      <x:c r="L70" s="83"/>
      <x:c r="M70" s="75" t="str">
        <x:f>IF(COUNTA(A70:L70)=0,"",IF(AND(A70&lt;&gt;"",B70&lt;&gt;"",C70="N4",OR(D70="Ngữ pháp",D70="Đọc",D70="Nghe",D70="Từ và kanji",D70="Giao tiếp"),OR(F70="Mới",F70="Ôn lại",F70="Hỗ trợ",F70="Luyện"),ISNUMBER(G70),ISNUMBER(H70),ISNUMBER(I70),ISNUMBER(J70),G70&gt;=0,H70&gt;=G70,I70&gt;=H70,I70&gt;0,J70&gt;=0,MOD(G70,1)=0,MOD(H70,1)=0,MOD(I70,1)=0,COUNTIFS($A$8:A70,A70,$D$8:D70,D70,$F$8:F70,F70)=1),"Hợp lệ","Kiểm tra/trùng"))</x:f>
      </x:c>
    </x:row>
    <x:row r="71" ht="27" customHeight="1">
      <x:c r="A71" s="83"/>
      <x:c r="B71" s="83"/>
      <x:c r="C71" s="83"/>
      <x:c r="D71" s="83"/>
      <x:c r="E71" s="83"/>
      <x:c r="F71" s="83"/>
      <x:c r="G71" s="83"/>
      <x:c r="H71" s="83"/>
      <x:c r="I71" s="83"/>
      <x:c r="J71" s="83"/>
      <x:c r="K71" s="83"/>
      <x:c r="L71" s="83"/>
      <x:c r="M71" s="75" t="str">
        <x:f>IF(COUNTA(A71:L71)=0,"",IF(AND(A71&lt;&gt;"",B71&lt;&gt;"",C71="N4",OR(D71="Ngữ pháp",D71="Đọc",D71="Nghe",D71="Từ và kanji",D71="Giao tiếp"),OR(F71="Mới",F71="Ôn lại",F71="Hỗ trợ",F71="Luyện"),ISNUMBER(G71),ISNUMBER(H71),ISNUMBER(I71),ISNUMBER(J71),G71&gt;=0,H71&gt;=G71,I71&gt;=H71,I71&gt;0,J71&gt;=0,MOD(G71,1)=0,MOD(H71,1)=0,MOD(I71,1)=0,COUNTIFS($A$8:A71,A71,$D$8:D71,D71,$F$8:F71,F71)=1),"Hợp lệ","Kiểm tra/trùng"))</x:f>
      </x:c>
    </x:row>
    <x:row r="72" ht="27" customHeight="1">
      <x:c r="A72" s="83"/>
      <x:c r="B72" s="83"/>
      <x:c r="C72" s="83"/>
      <x:c r="D72" s="83"/>
      <x:c r="E72" s="83"/>
      <x:c r="F72" s="83"/>
      <x:c r="G72" s="83"/>
      <x:c r="H72" s="83"/>
      <x:c r="I72" s="83"/>
      <x:c r="J72" s="83"/>
      <x:c r="K72" s="83"/>
      <x:c r="L72" s="83"/>
      <x:c r="M72" s="75" t="str">
        <x:f>IF(COUNTA(A72:L72)=0,"",IF(AND(A72&lt;&gt;"",B72&lt;&gt;"",C72="N4",OR(D72="Ngữ pháp",D72="Đọc",D72="Nghe",D72="Từ và kanji",D72="Giao tiếp"),OR(F72="Mới",F72="Ôn lại",F72="Hỗ trợ",F72="Luyện"),ISNUMBER(G72),ISNUMBER(H72),ISNUMBER(I72),ISNUMBER(J72),G72&gt;=0,H72&gt;=G72,I72&gt;=H72,I72&gt;0,J72&gt;=0,MOD(G72,1)=0,MOD(H72,1)=0,MOD(I72,1)=0,COUNTIFS($A$8:A72,A72,$D$8:D72,D72,$F$8:F72,F72)=1),"Hợp lệ","Kiểm tra/trùng"))</x:f>
      </x:c>
    </x:row>
    <x:row r="73" ht="27" customHeight="1">
      <x:c r="A73" s="83"/>
      <x:c r="B73" s="83"/>
      <x:c r="C73" s="83"/>
      <x:c r="D73" s="83"/>
      <x:c r="E73" s="83"/>
      <x:c r="F73" s="83"/>
      <x:c r="G73" s="83"/>
      <x:c r="H73" s="83"/>
      <x:c r="I73" s="83"/>
      <x:c r="J73" s="83"/>
      <x:c r="K73" s="83"/>
      <x:c r="L73" s="83"/>
      <x:c r="M73" s="75" t="str">
        <x:f>IF(COUNTA(A73:L73)=0,"",IF(AND(A73&lt;&gt;"",B73&lt;&gt;"",C73="N4",OR(D73="Ngữ pháp",D73="Đọc",D73="Nghe",D73="Từ và kanji",D73="Giao tiếp"),OR(F73="Mới",F73="Ôn lại",F73="Hỗ trợ",F73="Luyện"),ISNUMBER(G73),ISNUMBER(H73),ISNUMBER(I73),ISNUMBER(J73),G73&gt;=0,H73&gt;=G73,I73&gt;=H73,I73&gt;0,J73&gt;=0,MOD(G73,1)=0,MOD(H73,1)=0,MOD(I73,1)=0,COUNTIFS($A$8:A73,A73,$D$8:D73,D73,$F$8:F73,F73)=1),"Hợp lệ","Kiểm tra/trùng"))</x:f>
      </x:c>
    </x:row>
    <x:row r="74" ht="27" customHeight="1">
      <x:c r="A74" s="83"/>
      <x:c r="B74" s="83"/>
      <x:c r="C74" s="83"/>
      <x:c r="D74" s="83"/>
      <x:c r="E74" s="83"/>
      <x:c r="F74" s="83"/>
      <x:c r="G74" s="83"/>
      <x:c r="H74" s="83"/>
      <x:c r="I74" s="83"/>
      <x:c r="J74" s="83"/>
      <x:c r="K74" s="83"/>
      <x:c r="L74" s="83"/>
      <x:c r="M74" s="75" t="str">
        <x:f>IF(COUNTA(A74:L74)=0,"",IF(AND(A74&lt;&gt;"",B74&lt;&gt;"",C74="N4",OR(D74="Ngữ pháp",D74="Đọc",D74="Nghe",D74="Từ và kanji",D74="Giao tiếp"),OR(F74="Mới",F74="Ôn lại",F74="Hỗ trợ",F74="Luyện"),ISNUMBER(G74),ISNUMBER(H74),ISNUMBER(I74),ISNUMBER(J74),G74&gt;=0,H74&gt;=G74,I74&gt;=H74,I74&gt;0,J74&gt;=0,MOD(G74,1)=0,MOD(H74,1)=0,MOD(I74,1)=0,COUNTIFS($A$8:A74,A74,$D$8:D74,D74,$F$8:F74,F74)=1),"Hợp lệ","Kiểm tra/trùng"))</x:f>
      </x:c>
    </x:row>
    <x:row r="75" ht="27" customHeight="1">
      <x:c r="A75" s="83"/>
      <x:c r="B75" s="83"/>
      <x:c r="C75" s="83"/>
      <x:c r="D75" s="83"/>
      <x:c r="E75" s="83"/>
      <x:c r="F75" s="83"/>
      <x:c r="G75" s="83"/>
      <x:c r="H75" s="83"/>
      <x:c r="I75" s="83"/>
      <x:c r="J75" s="83"/>
      <x:c r="K75" s="83"/>
      <x:c r="L75" s="83"/>
      <x:c r="M75" s="75" t="str">
        <x:f>IF(COUNTA(A75:L75)=0,"",IF(AND(A75&lt;&gt;"",B75&lt;&gt;"",C75="N4",OR(D75="Ngữ pháp",D75="Đọc",D75="Nghe",D75="Từ và kanji",D75="Giao tiếp"),OR(F75="Mới",F75="Ôn lại",F75="Hỗ trợ",F75="Luyện"),ISNUMBER(G75),ISNUMBER(H75),ISNUMBER(I75),ISNUMBER(J75),G75&gt;=0,H75&gt;=G75,I75&gt;=H75,I75&gt;0,J75&gt;=0,MOD(G75,1)=0,MOD(H75,1)=0,MOD(I75,1)=0,COUNTIFS($A$8:A75,A75,$D$8:D75,D75,$F$8:F75,F75)=1),"Hợp lệ","Kiểm tra/trùng"))</x:f>
      </x:c>
    </x:row>
    <x:row r="76" ht="27" customHeight="1">
      <x:c r="A76" s="83"/>
      <x:c r="B76" s="83"/>
      <x:c r="C76" s="83"/>
      <x:c r="D76" s="83"/>
      <x:c r="E76" s="83"/>
      <x:c r="F76" s="83"/>
      <x:c r="G76" s="83"/>
      <x:c r="H76" s="83"/>
      <x:c r="I76" s="83"/>
      <x:c r="J76" s="83"/>
      <x:c r="K76" s="83"/>
      <x:c r="L76" s="83"/>
      <x:c r="M76" s="75" t="str">
        <x:f>IF(COUNTA(A76:L76)=0,"",IF(AND(A76&lt;&gt;"",B76&lt;&gt;"",C76="N4",OR(D76="Ngữ pháp",D76="Đọc",D76="Nghe",D76="Từ và kanji",D76="Giao tiếp"),OR(F76="Mới",F76="Ôn lại",F76="Hỗ trợ",F76="Luyện"),ISNUMBER(G76),ISNUMBER(H76),ISNUMBER(I76),ISNUMBER(J76),G76&gt;=0,H76&gt;=G76,I76&gt;=H76,I76&gt;0,J76&gt;=0,MOD(G76,1)=0,MOD(H76,1)=0,MOD(I76,1)=0,COUNTIFS($A$8:A76,A76,$D$8:D76,D76,$F$8:F76,F76)=1),"Hợp lệ","Kiểm tra/trùng"))</x:f>
      </x:c>
    </x:row>
    <x:row r="77" ht="27" customHeight="1">
      <x:c r="A77" s="83"/>
      <x:c r="B77" s="83"/>
      <x:c r="C77" s="83"/>
      <x:c r="D77" s="83"/>
      <x:c r="E77" s="83"/>
      <x:c r="F77" s="83"/>
      <x:c r="G77" s="83"/>
      <x:c r="H77" s="83"/>
      <x:c r="I77" s="83"/>
      <x:c r="J77" s="83"/>
      <x:c r="K77" s="83"/>
      <x:c r="L77" s="83"/>
      <x:c r="M77" s="75" t="str">
        <x:f>IF(COUNTA(A77:L77)=0,"",IF(AND(A77&lt;&gt;"",B77&lt;&gt;"",C77="N4",OR(D77="Ngữ pháp",D77="Đọc",D77="Nghe",D77="Từ và kanji",D77="Giao tiếp"),OR(F77="Mới",F77="Ôn lại",F77="Hỗ trợ",F77="Luyện"),ISNUMBER(G77),ISNUMBER(H77),ISNUMBER(I77),ISNUMBER(J77),G77&gt;=0,H77&gt;=G77,I77&gt;=H77,I77&gt;0,J77&gt;=0,MOD(G77,1)=0,MOD(H77,1)=0,MOD(I77,1)=0,COUNTIFS($A$8:A77,A77,$D$8:D77,D77,$F$8:F77,F77)=1),"Hợp lệ","Kiểm tra/trùng"))</x:f>
      </x:c>
    </x:row>
    <x:row r="78" ht="27" customHeight="1">
      <x:c r="A78" s="83"/>
      <x:c r="B78" s="83"/>
      <x:c r="C78" s="83"/>
      <x:c r="D78" s="83"/>
      <x:c r="E78" s="83"/>
      <x:c r="F78" s="83"/>
      <x:c r="G78" s="83"/>
      <x:c r="H78" s="83"/>
      <x:c r="I78" s="83"/>
      <x:c r="J78" s="83"/>
      <x:c r="K78" s="83"/>
      <x:c r="L78" s="83"/>
      <x:c r="M78" s="75" t="str">
        <x:f>IF(COUNTA(A78:L78)=0,"",IF(AND(A78&lt;&gt;"",B78&lt;&gt;"",C78="N4",OR(D78="Ngữ pháp",D78="Đọc",D78="Nghe",D78="Từ và kanji",D78="Giao tiếp"),OR(F78="Mới",F78="Ôn lại",F78="Hỗ trợ",F78="Luyện"),ISNUMBER(G78),ISNUMBER(H78),ISNUMBER(I78),ISNUMBER(J78),G78&gt;=0,H78&gt;=G78,I78&gt;=H78,I78&gt;0,J78&gt;=0,MOD(G78,1)=0,MOD(H78,1)=0,MOD(I78,1)=0,COUNTIFS($A$8:A78,A78,$D$8:D78,D78,$F$8:F78,F78)=1),"Hợp lệ","Kiểm tra/trùng"))</x:f>
      </x:c>
    </x:row>
    <x:row r="79" ht="27" customHeight="1">
      <x:c r="A79" s="83"/>
      <x:c r="B79" s="83"/>
      <x:c r="C79" s="83"/>
      <x:c r="D79" s="83"/>
      <x:c r="E79" s="83"/>
      <x:c r="F79" s="83"/>
      <x:c r="G79" s="83"/>
      <x:c r="H79" s="83"/>
      <x:c r="I79" s="83"/>
      <x:c r="J79" s="83"/>
      <x:c r="K79" s="83"/>
      <x:c r="L79" s="83"/>
      <x:c r="M79" s="75" t="str">
        <x:f>IF(COUNTA(A79:L79)=0,"",IF(AND(A79&lt;&gt;"",B79&lt;&gt;"",C79="N4",OR(D79="Ngữ pháp",D79="Đọc",D79="Nghe",D79="Từ và kanji",D79="Giao tiếp"),OR(F79="Mới",F79="Ôn lại",F79="Hỗ trợ",F79="Luyện"),ISNUMBER(G79),ISNUMBER(H79),ISNUMBER(I79),ISNUMBER(J79),G79&gt;=0,H79&gt;=G79,I79&gt;=H79,I79&gt;0,J79&gt;=0,MOD(G79,1)=0,MOD(H79,1)=0,MOD(I79,1)=0,COUNTIFS($A$8:A79,A79,$D$8:D79,D79,$F$8:F79,F79)=1),"Hợp lệ","Kiểm tra/trùng"))</x:f>
      </x:c>
    </x:row>
    <x:row r="80" ht="27" customHeight="1">
      <x:c r="A80" s="83"/>
      <x:c r="B80" s="83"/>
      <x:c r="C80" s="83"/>
      <x:c r="D80" s="83"/>
      <x:c r="E80" s="83"/>
      <x:c r="F80" s="83"/>
      <x:c r="G80" s="83"/>
      <x:c r="H80" s="83"/>
      <x:c r="I80" s="83"/>
      <x:c r="J80" s="83"/>
      <x:c r="K80" s="83"/>
      <x:c r="L80" s="83"/>
      <x:c r="M80" s="75" t="str">
        <x:f>IF(COUNTA(A80:L80)=0,"",IF(AND(A80&lt;&gt;"",B80&lt;&gt;"",C80="N4",OR(D80="Ngữ pháp",D80="Đọc",D80="Nghe",D80="Từ và kanji",D80="Giao tiếp"),OR(F80="Mới",F80="Ôn lại",F80="Hỗ trợ",F80="Luyện"),ISNUMBER(G80),ISNUMBER(H80),ISNUMBER(I80),ISNUMBER(J80),G80&gt;=0,H80&gt;=G80,I80&gt;=H80,I80&gt;0,J80&gt;=0,MOD(G80,1)=0,MOD(H80,1)=0,MOD(I80,1)=0,COUNTIFS($A$8:A80,A80,$D$8:D80,D80,$F$8:F80,F80)=1),"Hợp lệ","Kiểm tra/trùng"))</x:f>
      </x:c>
    </x:row>
    <x:row r="81" ht="27" customHeight="1">
      <x:c r="A81" s="83"/>
      <x:c r="B81" s="83"/>
      <x:c r="C81" s="83"/>
      <x:c r="D81" s="83"/>
      <x:c r="E81" s="83"/>
      <x:c r="F81" s="83"/>
      <x:c r="G81" s="83"/>
      <x:c r="H81" s="83"/>
      <x:c r="I81" s="83"/>
      <x:c r="J81" s="83"/>
      <x:c r="K81" s="83"/>
      <x:c r="L81" s="83"/>
      <x:c r="M81" s="75" t="str">
        <x:f>IF(COUNTA(A81:L81)=0,"",IF(AND(A81&lt;&gt;"",B81&lt;&gt;"",C81="N4",OR(D81="Ngữ pháp",D81="Đọc",D81="Nghe",D81="Từ và kanji",D81="Giao tiếp"),OR(F81="Mới",F81="Ôn lại",F81="Hỗ trợ",F81="Luyện"),ISNUMBER(G81),ISNUMBER(H81),ISNUMBER(I81),ISNUMBER(J81),G81&gt;=0,H81&gt;=G81,I81&gt;=H81,I81&gt;0,J81&gt;=0,MOD(G81,1)=0,MOD(H81,1)=0,MOD(I81,1)=0,COUNTIFS($A$8:A81,A81,$D$8:D81,D81,$F$8:F81,F81)=1),"Hợp lệ","Kiểm tra/trùng"))</x:f>
      </x:c>
    </x:row>
    <x:row r="82" ht="27" customHeight="1">
      <x:c r="A82" s="83"/>
      <x:c r="B82" s="83"/>
      <x:c r="C82" s="83"/>
      <x:c r="D82" s="83"/>
      <x:c r="E82" s="83"/>
      <x:c r="F82" s="83"/>
      <x:c r="G82" s="83"/>
      <x:c r="H82" s="83"/>
      <x:c r="I82" s="83"/>
      <x:c r="J82" s="83"/>
      <x:c r="K82" s="83"/>
      <x:c r="L82" s="83"/>
      <x:c r="M82" s="75" t="str">
        <x:f>IF(COUNTA(A82:L82)=0,"",IF(AND(A82&lt;&gt;"",B82&lt;&gt;"",C82="N4",OR(D82="Ngữ pháp",D82="Đọc",D82="Nghe",D82="Từ và kanji",D82="Giao tiếp"),OR(F82="Mới",F82="Ôn lại",F82="Hỗ trợ",F82="Luyện"),ISNUMBER(G82),ISNUMBER(H82),ISNUMBER(I82),ISNUMBER(J82),G82&gt;=0,H82&gt;=G82,I82&gt;=H82,I82&gt;0,J82&gt;=0,MOD(G82,1)=0,MOD(H82,1)=0,MOD(I82,1)=0,COUNTIFS($A$8:A82,A82,$D$8:D82,D82,$F$8:F82,F82)=1),"Hợp lệ","Kiểm tra/trùng"))</x:f>
      </x:c>
    </x:row>
    <x:row r="83" ht="27" customHeight="1">
      <x:c r="A83" s="83"/>
      <x:c r="B83" s="83"/>
      <x:c r="C83" s="83"/>
      <x:c r="D83" s="83"/>
      <x:c r="E83" s="83"/>
      <x:c r="F83" s="83"/>
      <x:c r="G83" s="83"/>
      <x:c r="H83" s="83"/>
      <x:c r="I83" s="83"/>
      <x:c r="J83" s="83"/>
      <x:c r="K83" s="83"/>
      <x:c r="L83" s="83"/>
      <x:c r="M83" s="75" t="str">
        <x:f>IF(COUNTA(A83:L83)=0,"",IF(AND(A83&lt;&gt;"",B83&lt;&gt;"",C83="N4",OR(D83="Ngữ pháp",D83="Đọc",D83="Nghe",D83="Từ và kanji",D83="Giao tiếp"),OR(F83="Mới",F83="Ôn lại",F83="Hỗ trợ",F83="Luyện"),ISNUMBER(G83),ISNUMBER(H83),ISNUMBER(I83),ISNUMBER(J83),G83&gt;=0,H83&gt;=G83,I83&gt;=H83,I83&gt;0,J83&gt;=0,MOD(G83,1)=0,MOD(H83,1)=0,MOD(I83,1)=0,COUNTIFS($A$8:A83,A83,$D$8:D83,D83,$F$8:F83,F83)=1),"Hợp lệ","Kiểm tra/trùng"))</x:f>
      </x:c>
    </x:row>
    <x:row r="84" ht="27" customHeight="1">
      <x:c r="A84" s="83"/>
      <x:c r="B84" s="83"/>
      <x:c r="C84" s="83"/>
      <x:c r="D84" s="83"/>
      <x:c r="E84" s="83"/>
      <x:c r="F84" s="83"/>
      <x:c r="G84" s="83"/>
      <x:c r="H84" s="83"/>
      <x:c r="I84" s="83"/>
      <x:c r="J84" s="83"/>
      <x:c r="K84" s="83"/>
      <x:c r="L84" s="83"/>
      <x:c r="M84" s="75" t="str">
        <x:f>IF(COUNTA(A84:L84)=0,"",IF(AND(A84&lt;&gt;"",B84&lt;&gt;"",C84="N4",OR(D84="Ngữ pháp",D84="Đọc",D84="Nghe",D84="Từ và kanji",D84="Giao tiếp"),OR(F84="Mới",F84="Ôn lại",F84="Hỗ trợ",F84="Luyện"),ISNUMBER(G84),ISNUMBER(H84),ISNUMBER(I84),ISNUMBER(J84),G84&gt;=0,H84&gt;=G84,I84&gt;=H84,I84&gt;0,J84&gt;=0,MOD(G84,1)=0,MOD(H84,1)=0,MOD(I84,1)=0,COUNTIFS($A$8:A84,A84,$D$8:D84,D84,$F$8:F84,F84)=1),"Hợp lệ","Kiểm tra/trùng"))</x:f>
      </x:c>
    </x:row>
    <x:row r="85" ht="27" customHeight="1">
      <x:c r="A85" s="83"/>
      <x:c r="B85" s="83"/>
      <x:c r="C85" s="83"/>
      <x:c r="D85" s="83"/>
      <x:c r="E85" s="83"/>
      <x:c r="F85" s="83"/>
      <x:c r="G85" s="83"/>
      <x:c r="H85" s="83"/>
      <x:c r="I85" s="83"/>
      <x:c r="J85" s="83"/>
      <x:c r="K85" s="83"/>
      <x:c r="L85" s="83"/>
      <x:c r="M85" s="75" t="str">
        <x:f>IF(COUNTA(A85:L85)=0,"",IF(AND(A85&lt;&gt;"",B85&lt;&gt;"",C85="N4",OR(D85="Ngữ pháp",D85="Đọc",D85="Nghe",D85="Từ và kanji",D85="Giao tiếp"),OR(F85="Mới",F85="Ôn lại",F85="Hỗ trợ",F85="Luyện"),ISNUMBER(G85),ISNUMBER(H85),ISNUMBER(I85),ISNUMBER(J85),G85&gt;=0,H85&gt;=G85,I85&gt;=H85,I85&gt;0,J85&gt;=0,MOD(G85,1)=0,MOD(H85,1)=0,MOD(I85,1)=0,COUNTIFS($A$8:A85,A85,$D$8:D85,D85,$F$8:F85,F85)=1),"Hợp lệ","Kiểm tra/trùng"))</x:f>
      </x:c>
    </x:row>
    <x:row r="86" ht="27" customHeight="1">
      <x:c r="A86" s="83"/>
      <x:c r="B86" s="83"/>
      <x:c r="C86" s="83"/>
      <x:c r="D86" s="83"/>
      <x:c r="E86" s="83"/>
      <x:c r="F86" s="83"/>
      <x:c r="G86" s="83"/>
      <x:c r="H86" s="83"/>
      <x:c r="I86" s="83"/>
      <x:c r="J86" s="83"/>
      <x:c r="K86" s="83"/>
      <x:c r="L86" s="83"/>
      <x:c r="M86" s="75" t="str">
        <x:f>IF(COUNTA(A86:L86)=0,"",IF(AND(A86&lt;&gt;"",B86&lt;&gt;"",C86="N4",OR(D86="Ngữ pháp",D86="Đọc",D86="Nghe",D86="Từ và kanji",D86="Giao tiếp"),OR(F86="Mới",F86="Ôn lại",F86="Hỗ trợ",F86="Luyện"),ISNUMBER(G86),ISNUMBER(H86),ISNUMBER(I86),ISNUMBER(J86),G86&gt;=0,H86&gt;=G86,I86&gt;=H86,I86&gt;0,J86&gt;=0,MOD(G86,1)=0,MOD(H86,1)=0,MOD(I86,1)=0,COUNTIFS($A$8:A86,A86,$D$8:D86,D86,$F$8:F86,F86)=1),"Hợp lệ","Kiểm tra/trùng"))</x:f>
      </x:c>
    </x:row>
    <x:row r="87" ht="27" customHeight="1">
      <x:c r="A87" s="83"/>
      <x:c r="B87" s="83"/>
      <x:c r="C87" s="83"/>
      <x:c r="D87" s="83"/>
      <x:c r="E87" s="83"/>
      <x:c r="F87" s="83"/>
      <x:c r="G87" s="83"/>
      <x:c r="H87" s="83"/>
      <x:c r="I87" s="83"/>
      <x:c r="J87" s="83"/>
      <x:c r="K87" s="83"/>
      <x:c r="L87" s="83"/>
      <x:c r="M87" s="75" t="str">
        <x:f>IF(COUNTA(A87:L87)=0,"",IF(AND(A87&lt;&gt;"",B87&lt;&gt;"",C87="N4",OR(D87="Ngữ pháp",D87="Đọc",D87="Nghe",D87="Từ và kanji",D87="Giao tiếp"),OR(F87="Mới",F87="Ôn lại",F87="Hỗ trợ",F87="Luyện"),ISNUMBER(G87),ISNUMBER(H87),ISNUMBER(I87),ISNUMBER(J87),G87&gt;=0,H87&gt;=G87,I87&gt;=H87,I87&gt;0,J87&gt;=0,MOD(G87,1)=0,MOD(H87,1)=0,MOD(I87,1)=0,COUNTIFS($A$8:A87,A87,$D$8:D87,D87,$F$8:F87,F87)=1),"Hợp lệ","Kiểm tra/trùng"))</x:f>
      </x:c>
    </x:row>
    <x:row r="88" ht="27" customHeight="1">
      <x:c r="A88" s="83"/>
      <x:c r="B88" s="83"/>
      <x:c r="C88" s="83"/>
      <x:c r="D88" s="83"/>
      <x:c r="E88" s="83"/>
      <x:c r="F88" s="83"/>
      <x:c r="G88" s="83"/>
      <x:c r="H88" s="83"/>
      <x:c r="I88" s="83"/>
      <x:c r="J88" s="83"/>
      <x:c r="K88" s="83"/>
      <x:c r="L88" s="83"/>
      <x:c r="M88" s="75" t="str">
        <x:f>IF(COUNTA(A88:L88)=0,"",IF(AND(A88&lt;&gt;"",B88&lt;&gt;"",C88="N4",OR(D88="Ngữ pháp",D88="Đọc",D88="Nghe",D88="Từ và kanji",D88="Giao tiếp"),OR(F88="Mới",F88="Ôn lại",F88="Hỗ trợ",F88="Luyện"),ISNUMBER(G88),ISNUMBER(H88),ISNUMBER(I88),ISNUMBER(J88),G88&gt;=0,H88&gt;=G88,I88&gt;=H88,I88&gt;0,J88&gt;=0,MOD(G88,1)=0,MOD(H88,1)=0,MOD(I88,1)=0,COUNTIFS($A$8:A88,A88,$D$8:D88,D88,$F$8:F88,F88)=1),"Hợp lệ","Kiểm tra/trùng"))</x:f>
      </x:c>
    </x:row>
    <x:row r="89" ht="27" customHeight="1">
      <x:c r="A89" s="83"/>
      <x:c r="B89" s="83"/>
      <x:c r="C89" s="83"/>
      <x:c r="D89" s="83"/>
      <x:c r="E89" s="83"/>
      <x:c r="F89" s="83"/>
      <x:c r="G89" s="83"/>
      <x:c r="H89" s="83"/>
      <x:c r="I89" s="83"/>
      <x:c r="J89" s="83"/>
      <x:c r="K89" s="83"/>
      <x:c r="L89" s="83"/>
      <x:c r="M89" s="75" t="str">
        <x:f>IF(COUNTA(A89:L89)=0,"",IF(AND(A89&lt;&gt;"",B89&lt;&gt;"",C89="N4",OR(D89="Ngữ pháp",D89="Đọc",D89="Nghe",D89="Từ và kanji",D89="Giao tiếp"),OR(F89="Mới",F89="Ôn lại",F89="Hỗ trợ",F89="Luyện"),ISNUMBER(G89),ISNUMBER(H89),ISNUMBER(I89),ISNUMBER(J89),G89&gt;=0,H89&gt;=G89,I89&gt;=H89,I89&gt;0,J89&gt;=0,MOD(G89,1)=0,MOD(H89,1)=0,MOD(I89,1)=0,COUNTIFS($A$8:A89,A89,$D$8:D89,D89,$F$8:F89,F89)=1),"Hợp lệ","Kiểm tra/trùng"))</x:f>
      </x:c>
    </x:row>
    <x:row r="90" ht="27" customHeight="1">
      <x:c r="A90" s="83"/>
      <x:c r="B90" s="83"/>
      <x:c r="C90" s="83"/>
      <x:c r="D90" s="83"/>
      <x:c r="E90" s="83"/>
      <x:c r="F90" s="83"/>
      <x:c r="G90" s="83"/>
      <x:c r="H90" s="83"/>
      <x:c r="I90" s="83"/>
      <x:c r="J90" s="83"/>
      <x:c r="K90" s="83"/>
      <x:c r="L90" s="83"/>
      <x:c r="M90" s="75" t="str">
        <x:f>IF(COUNTA(A90:L90)=0,"",IF(AND(A90&lt;&gt;"",B90&lt;&gt;"",C90="N4",OR(D90="Ngữ pháp",D90="Đọc",D90="Nghe",D90="Từ và kanji",D90="Giao tiếp"),OR(F90="Mới",F90="Ôn lại",F90="Hỗ trợ",F90="Luyện"),ISNUMBER(G90),ISNUMBER(H90),ISNUMBER(I90),ISNUMBER(J90),G90&gt;=0,H90&gt;=G90,I90&gt;=H90,I90&gt;0,J90&gt;=0,MOD(G90,1)=0,MOD(H90,1)=0,MOD(I90,1)=0,COUNTIFS($A$8:A90,A90,$D$8:D90,D90,$F$8:F90,F90)=1),"Hợp lệ","Kiểm tra/trùng"))</x:f>
      </x:c>
    </x:row>
    <x:row r="91" ht="27" customHeight="1">
      <x:c r="A91" s="83"/>
      <x:c r="B91" s="83"/>
      <x:c r="C91" s="83"/>
      <x:c r="D91" s="83"/>
      <x:c r="E91" s="83"/>
      <x:c r="F91" s="83"/>
      <x:c r="G91" s="83"/>
      <x:c r="H91" s="83"/>
      <x:c r="I91" s="83"/>
      <x:c r="J91" s="83"/>
      <x:c r="K91" s="83"/>
      <x:c r="L91" s="83"/>
      <x:c r="M91" s="75" t="str">
        <x:f>IF(COUNTA(A91:L91)=0,"",IF(AND(A91&lt;&gt;"",B91&lt;&gt;"",C91="N4",OR(D91="Ngữ pháp",D91="Đọc",D91="Nghe",D91="Từ và kanji",D91="Giao tiếp"),OR(F91="Mới",F91="Ôn lại",F91="Hỗ trợ",F91="Luyện"),ISNUMBER(G91),ISNUMBER(H91),ISNUMBER(I91),ISNUMBER(J91),G91&gt;=0,H91&gt;=G91,I91&gt;=H91,I91&gt;0,J91&gt;=0,MOD(G91,1)=0,MOD(H91,1)=0,MOD(I91,1)=0,COUNTIFS($A$8:A91,A91,$D$8:D91,D91,$F$8:F91,F91)=1),"Hợp lệ","Kiểm tra/trùng"))</x:f>
      </x:c>
    </x:row>
    <x:row r="92" ht="27" customHeight="1">
      <x:c r="A92" s="83"/>
      <x:c r="B92" s="83"/>
      <x:c r="C92" s="83"/>
      <x:c r="D92" s="83"/>
      <x:c r="E92" s="83"/>
      <x:c r="F92" s="83"/>
      <x:c r="G92" s="83"/>
      <x:c r="H92" s="83"/>
      <x:c r="I92" s="83"/>
      <x:c r="J92" s="83"/>
      <x:c r="K92" s="83"/>
      <x:c r="L92" s="83"/>
      <x:c r="M92" s="75" t="str">
        <x:f>IF(COUNTA(A92:L92)=0,"",IF(AND(A92&lt;&gt;"",B92&lt;&gt;"",C92="N4",OR(D92="Ngữ pháp",D92="Đọc",D92="Nghe",D92="Từ và kanji",D92="Giao tiếp"),OR(F92="Mới",F92="Ôn lại",F92="Hỗ trợ",F92="Luyện"),ISNUMBER(G92),ISNUMBER(H92),ISNUMBER(I92),ISNUMBER(J92),G92&gt;=0,H92&gt;=G92,I92&gt;=H92,I92&gt;0,J92&gt;=0,MOD(G92,1)=0,MOD(H92,1)=0,MOD(I92,1)=0,COUNTIFS($A$8:A92,A92,$D$8:D92,D92,$F$8:F92,F92)=1),"Hợp lệ","Kiểm tra/trùng"))</x:f>
      </x:c>
    </x:row>
    <x:row r="93" ht="27" customHeight="1">
      <x:c r="A93" s="83"/>
      <x:c r="B93" s="83"/>
      <x:c r="C93" s="83"/>
      <x:c r="D93" s="83"/>
      <x:c r="E93" s="83"/>
      <x:c r="F93" s="83"/>
      <x:c r="G93" s="83"/>
      <x:c r="H93" s="83"/>
      <x:c r="I93" s="83"/>
      <x:c r="J93" s="83"/>
      <x:c r="K93" s="83"/>
      <x:c r="L93" s="83"/>
      <x:c r="M93" s="75" t="str">
        <x:f>IF(COUNTA(A93:L93)=0,"",IF(AND(A93&lt;&gt;"",B93&lt;&gt;"",C93="N4",OR(D93="Ngữ pháp",D93="Đọc",D93="Nghe",D93="Từ và kanji",D93="Giao tiếp"),OR(F93="Mới",F93="Ôn lại",F93="Hỗ trợ",F93="Luyện"),ISNUMBER(G93),ISNUMBER(H93),ISNUMBER(I93),ISNUMBER(J93),G93&gt;=0,H93&gt;=G93,I93&gt;=H93,I93&gt;0,J93&gt;=0,MOD(G93,1)=0,MOD(H93,1)=0,MOD(I93,1)=0,COUNTIFS($A$8:A93,A93,$D$8:D93,D93,$F$8:F93,F93)=1),"Hợp lệ","Kiểm tra/trùng"))</x:f>
      </x:c>
    </x:row>
    <x:row r="94" ht="27" customHeight="1">
      <x:c r="A94" s="83"/>
      <x:c r="B94" s="83"/>
      <x:c r="C94" s="83"/>
      <x:c r="D94" s="83"/>
      <x:c r="E94" s="83"/>
      <x:c r="F94" s="83"/>
      <x:c r="G94" s="83"/>
      <x:c r="H94" s="83"/>
      <x:c r="I94" s="83"/>
      <x:c r="J94" s="83"/>
      <x:c r="K94" s="83"/>
      <x:c r="L94" s="83"/>
      <x:c r="M94" s="75" t="str">
        <x:f>IF(COUNTA(A94:L94)=0,"",IF(AND(A94&lt;&gt;"",B94&lt;&gt;"",C94="N4",OR(D94="Ngữ pháp",D94="Đọc",D94="Nghe",D94="Từ và kanji",D94="Giao tiếp"),OR(F94="Mới",F94="Ôn lại",F94="Hỗ trợ",F94="Luyện"),ISNUMBER(G94),ISNUMBER(H94),ISNUMBER(I94),ISNUMBER(J94),G94&gt;=0,H94&gt;=G94,I94&gt;=H94,I94&gt;0,J94&gt;=0,MOD(G94,1)=0,MOD(H94,1)=0,MOD(I94,1)=0,COUNTIFS($A$8:A94,A94,$D$8:D94,D94,$F$8:F94,F94)=1),"Hợp lệ","Kiểm tra/trùng"))</x:f>
      </x:c>
    </x:row>
    <x:row r="95" ht="27" customHeight="1">
      <x:c r="A95" s="83"/>
      <x:c r="B95" s="83"/>
      <x:c r="C95" s="83"/>
      <x:c r="D95" s="83"/>
      <x:c r="E95" s="83"/>
      <x:c r="F95" s="83"/>
      <x:c r="G95" s="83"/>
      <x:c r="H95" s="83"/>
      <x:c r="I95" s="83"/>
      <x:c r="J95" s="83"/>
      <x:c r="K95" s="83"/>
      <x:c r="L95" s="83"/>
      <x:c r="M95" s="75" t="str">
        <x:f>IF(COUNTA(A95:L95)=0,"",IF(AND(A95&lt;&gt;"",B95&lt;&gt;"",C95="N4",OR(D95="Ngữ pháp",D95="Đọc",D95="Nghe",D95="Từ và kanji",D95="Giao tiếp"),OR(F95="Mới",F95="Ôn lại",F95="Hỗ trợ",F95="Luyện"),ISNUMBER(G95),ISNUMBER(H95),ISNUMBER(I95),ISNUMBER(J95),G95&gt;=0,H95&gt;=G95,I95&gt;=H95,I95&gt;0,J95&gt;=0,MOD(G95,1)=0,MOD(H95,1)=0,MOD(I95,1)=0,COUNTIFS($A$8:A95,A95,$D$8:D95,D95,$F$8:F95,F95)=1),"Hợp lệ","Kiểm tra/trùng"))</x:f>
      </x:c>
    </x:row>
    <x:row r="96" ht="27" customHeight="1">
      <x:c r="A96" s="83"/>
      <x:c r="B96" s="83"/>
      <x:c r="C96" s="83"/>
      <x:c r="D96" s="83"/>
      <x:c r="E96" s="83"/>
      <x:c r="F96" s="83"/>
      <x:c r="G96" s="83"/>
      <x:c r="H96" s="83"/>
      <x:c r="I96" s="83"/>
      <x:c r="J96" s="83"/>
      <x:c r="K96" s="83"/>
      <x:c r="L96" s="83"/>
      <x:c r="M96" s="75" t="str">
        <x:f>IF(COUNTA(A96:L96)=0,"",IF(AND(A96&lt;&gt;"",B96&lt;&gt;"",C96="N4",OR(D96="Ngữ pháp",D96="Đọc",D96="Nghe",D96="Từ và kanji",D96="Giao tiếp"),OR(F96="Mới",F96="Ôn lại",F96="Hỗ trợ",F96="Luyện"),ISNUMBER(G96),ISNUMBER(H96),ISNUMBER(I96),ISNUMBER(J96),G96&gt;=0,H96&gt;=G96,I96&gt;=H96,I96&gt;0,J96&gt;=0,MOD(G96,1)=0,MOD(H96,1)=0,MOD(I96,1)=0,COUNTIFS($A$8:A96,A96,$D$8:D96,D96,$F$8:F96,F96)=1),"Hợp lệ","Kiểm tra/trùng"))</x:f>
      </x:c>
    </x:row>
    <x:row r="97" ht="27" customHeight="1">
      <x:c r="A97" s="83"/>
      <x:c r="B97" s="83"/>
      <x:c r="C97" s="83"/>
      <x:c r="D97" s="83"/>
      <x:c r="E97" s="83"/>
      <x:c r="F97" s="83"/>
      <x:c r="G97" s="83"/>
      <x:c r="H97" s="83"/>
      <x:c r="I97" s="83"/>
      <x:c r="J97" s="83"/>
      <x:c r="K97" s="83"/>
      <x:c r="L97" s="83"/>
      <x:c r="M97" s="75" t="str">
        <x:f>IF(COUNTA(A97:L97)=0,"",IF(AND(A97&lt;&gt;"",B97&lt;&gt;"",C97="N4",OR(D97="Ngữ pháp",D97="Đọc",D97="Nghe",D97="Từ và kanji",D97="Giao tiếp"),OR(F97="Mới",F97="Ôn lại",F97="Hỗ trợ",F97="Luyện"),ISNUMBER(G97),ISNUMBER(H97),ISNUMBER(I97),ISNUMBER(J97),G97&gt;=0,H97&gt;=G97,I97&gt;=H97,I97&gt;0,J97&gt;=0,MOD(G97,1)=0,MOD(H97,1)=0,MOD(I97,1)=0,COUNTIFS($A$8:A97,A97,$D$8:D97,D97,$F$8:F97,F97)=1),"Hợp lệ","Kiểm tra/trùng"))</x:f>
      </x:c>
    </x:row>
    <x:row r="98" ht="27" customHeight="1">
      <x:c r="A98" s="83"/>
      <x:c r="B98" s="83"/>
      <x:c r="C98" s="83"/>
      <x:c r="D98" s="83"/>
      <x:c r="E98" s="83"/>
      <x:c r="F98" s="83"/>
      <x:c r="G98" s="83"/>
      <x:c r="H98" s="83"/>
      <x:c r="I98" s="83"/>
      <x:c r="J98" s="83"/>
      <x:c r="K98" s="83"/>
      <x:c r="L98" s="83"/>
      <x:c r="M98" s="75" t="str">
        <x:f>IF(COUNTA(A98:L98)=0,"",IF(AND(A98&lt;&gt;"",B98&lt;&gt;"",C98="N4",OR(D98="Ngữ pháp",D98="Đọc",D98="Nghe",D98="Từ và kanji",D98="Giao tiếp"),OR(F98="Mới",F98="Ôn lại",F98="Hỗ trợ",F98="Luyện"),ISNUMBER(G98),ISNUMBER(H98),ISNUMBER(I98),ISNUMBER(J98),G98&gt;=0,H98&gt;=G98,I98&gt;=H98,I98&gt;0,J98&gt;=0,MOD(G98,1)=0,MOD(H98,1)=0,MOD(I98,1)=0,COUNTIFS($A$8:A98,A98,$D$8:D98,D98,$F$8:F98,F98)=1),"Hợp lệ","Kiểm tra/trùng"))</x:f>
      </x:c>
    </x:row>
    <x:row r="99" ht="27" customHeight="1">
      <x:c r="A99" s="83"/>
      <x:c r="B99" s="83"/>
      <x:c r="C99" s="83"/>
      <x:c r="D99" s="83"/>
      <x:c r="E99" s="83"/>
      <x:c r="F99" s="83"/>
      <x:c r="G99" s="83"/>
      <x:c r="H99" s="83"/>
      <x:c r="I99" s="83"/>
      <x:c r="J99" s="83"/>
      <x:c r="K99" s="83"/>
      <x:c r="L99" s="83"/>
      <x:c r="M99" s="75" t="str">
        <x:f>IF(COUNTA(A99:L99)=0,"",IF(AND(A99&lt;&gt;"",B99&lt;&gt;"",C99="N4",OR(D99="Ngữ pháp",D99="Đọc",D99="Nghe",D99="Từ và kanji",D99="Giao tiếp"),OR(F99="Mới",F99="Ôn lại",F99="Hỗ trợ",F99="Luyện"),ISNUMBER(G99),ISNUMBER(H99),ISNUMBER(I99),ISNUMBER(J99),G99&gt;=0,H99&gt;=G99,I99&gt;=H99,I99&gt;0,J99&gt;=0,MOD(G99,1)=0,MOD(H99,1)=0,MOD(I99,1)=0,COUNTIFS($A$8:A99,A99,$D$8:D99,D99,$F$8:F99,F99)=1),"Hợp lệ","Kiểm tra/trùng"))</x:f>
      </x:c>
    </x:row>
    <x:row r="100" ht="27" customHeight="1">
      <x:c r="A100" s="83"/>
      <x:c r="B100" s="83"/>
      <x:c r="C100" s="83"/>
      <x:c r="D100" s="83"/>
      <x:c r="E100" s="83"/>
      <x:c r="F100" s="83"/>
      <x:c r="G100" s="83"/>
      <x:c r="H100" s="83"/>
      <x:c r="I100" s="83"/>
      <x:c r="J100" s="83"/>
      <x:c r="K100" s="83"/>
      <x:c r="L100" s="83"/>
      <x:c r="M100" s="75" t="str">
        <x:f>IF(COUNTA(A100:L100)=0,"",IF(AND(A100&lt;&gt;"",B100&lt;&gt;"",C100="N4",OR(D100="Ngữ pháp",D100="Đọc",D100="Nghe",D100="Từ và kanji",D100="Giao tiếp"),OR(F100="Mới",F100="Ôn lại",F100="Hỗ trợ",F100="Luyện"),ISNUMBER(G100),ISNUMBER(H100),ISNUMBER(I100),ISNUMBER(J100),G100&gt;=0,H100&gt;=G100,I100&gt;=H100,I100&gt;0,J100&gt;=0,MOD(G100,1)=0,MOD(H100,1)=0,MOD(I100,1)=0,COUNTIFS($A$8:A100,A100,$D$8:D100,D100,$F$8:F100,F100)=1),"Hợp lệ","Kiểm tra/trùng"))</x:f>
      </x:c>
    </x:row>
    <x:row r="101" ht="27" customHeight="1">
      <x:c r="A101" s="83"/>
      <x:c r="B101" s="83"/>
      <x:c r="C101" s="83"/>
      <x:c r="D101" s="83"/>
      <x:c r="E101" s="83"/>
      <x:c r="F101" s="83"/>
      <x:c r="G101" s="83"/>
      <x:c r="H101" s="83"/>
      <x:c r="I101" s="83"/>
      <x:c r="J101" s="83"/>
      <x:c r="K101" s="83"/>
      <x:c r="L101" s="83"/>
      <x:c r="M101" s="75" t="str">
        <x:f>IF(COUNTA(A101:L101)=0,"",IF(AND(A101&lt;&gt;"",B101&lt;&gt;"",C101="N4",OR(D101="Ngữ pháp",D101="Đọc",D101="Nghe",D101="Từ và kanji",D101="Giao tiếp"),OR(F101="Mới",F101="Ôn lại",F101="Hỗ trợ",F101="Luyện"),ISNUMBER(G101),ISNUMBER(H101),ISNUMBER(I101),ISNUMBER(J101),G101&gt;=0,H101&gt;=G101,I101&gt;=H101,I101&gt;0,J101&gt;=0,MOD(G101,1)=0,MOD(H101,1)=0,MOD(I101,1)=0,COUNTIFS($A$8:A101,A101,$D$8:D101,D101,$F$8:F101,F101)=1),"Hợp lệ","Kiểm tra/trùng"))</x:f>
      </x:c>
    </x:row>
    <x:row r="102" ht="27" customHeight="1">
      <x:c r="A102" s="83"/>
      <x:c r="B102" s="83"/>
      <x:c r="C102" s="83"/>
      <x:c r="D102" s="83"/>
      <x:c r="E102" s="83"/>
      <x:c r="F102" s="83"/>
      <x:c r="G102" s="83"/>
      <x:c r="H102" s="83"/>
      <x:c r="I102" s="83"/>
      <x:c r="J102" s="83"/>
      <x:c r="K102" s="83"/>
      <x:c r="L102" s="83"/>
      <x:c r="M102" s="75" t="str">
        <x:f>IF(COUNTA(A102:L102)=0,"",IF(AND(A102&lt;&gt;"",B102&lt;&gt;"",C102="N4",OR(D102="Ngữ pháp",D102="Đọc",D102="Nghe",D102="Từ và kanji",D102="Giao tiếp"),OR(F102="Mới",F102="Ôn lại",F102="Hỗ trợ",F102="Luyện"),ISNUMBER(G102),ISNUMBER(H102),ISNUMBER(I102),ISNUMBER(J102),G102&gt;=0,H102&gt;=G102,I102&gt;=H102,I102&gt;0,J102&gt;=0,MOD(G102,1)=0,MOD(H102,1)=0,MOD(I102,1)=0,COUNTIFS($A$8:A102,A102,$D$8:D102,D102,$F$8:F102,F102)=1),"Hợp lệ","Kiểm tra/trùng"))</x:f>
      </x:c>
    </x:row>
    <x:row r="103" ht="27" customHeight="1">
      <x:c r="A103" s="83"/>
      <x:c r="B103" s="83"/>
      <x:c r="C103" s="83"/>
      <x:c r="D103" s="83"/>
      <x:c r="E103" s="83"/>
      <x:c r="F103" s="83"/>
      <x:c r="G103" s="83"/>
      <x:c r="H103" s="83"/>
      <x:c r="I103" s="83"/>
      <x:c r="J103" s="83"/>
      <x:c r="K103" s="83"/>
      <x:c r="L103" s="83"/>
      <x:c r="M103" s="75" t="str">
        <x:f>IF(COUNTA(A103:L103)=0,"",IF(AND(A103&lt;&gt;"",B103&lt;&gt;"",C103="N4",OR(D103="Ngữ pháp",D103="Đọc",D103="Nghe",D103="Từ và kanji",D103="Giao tiếp"),OR(F103="Mới",F103="Ôn lại",F103="Hỗ trợ",F103="Luyện"),ISNUMBER(G103),ISNUMBER(H103),ISNUMBER(I103),ISNUMBER(J103),G103&gt;=0,H103&gt;=G103,I103&gt;=H103,I103&gt;0,J103&gt;=0,MOD(G103,1)=0,MOD(H103,1)=0,MOD(I103,1)=0,COUNTIFS($A$8:A103,A103,$D$8:D103,D103,$F$8:F103,F103)=1),"Hợp lệ","Kiểm tra/trùng"))</x:f>
      </x:c>
    </x:row>
    <x:row r="104" ht="27" customHeight="1">
      <x:c r="A104" s="83"/>
      <x:c r="B104" s="83"/>
      <x:c r="C104" s="83"/>
      <x:c r="D104" s="83"/>
      <x:c r="E104" s="83"/>
      <x:c r="F104" s="83"/>
      <x:c r="G104" s="83"/>
      <x:c r="H104" s="83"/>
      <x:c r="I104" s="83"/>
      <x:c r="J104" s="83"/>
      <x:c r="K104" s="83"/>
      <x:c r="L104" s="83"/>
      <x:c r="M104" s="75" t="str">
        <x:f>IF(COUNTA(A104:L104)=0,"",IF(AND(A104&lt;&gt;"",B104&lt;&gt;"",C104="N4",OR(D104="Ngữ pháp",D104="Đọc",D104="Nghe",D104="Từ và kanji",D104="Giao tiếp"),OR(F104="Mới",F104="Ôn lại",F104="Hỗ trợ",F104="Luyện"),ISNUMBER(G104),ISNUMBER(H104),ISNUMBER(I104),ISNUMBER(J104),G104&gt;=0,H104&gt;=G104,I104&gt;=H104,I104&gt;0,J104&gt;=0,MOD(G104,1)=0,MOD(H104,1)=0,MOD(I104,1)=0,COUNTIFS($A$8:A104,A104,$D$8:D104,D104,$F$8:F104,F104)=1),"Hợp lệ","Kiểm tra/trùng"))</x:f>
      </x:c>
    </x:row>
    <x:row r="105" ht="27" customHeight="1">
      <x:c r="A105" s="83"/>
      <x:c r="B105" s="83"/>
      <x:c r="C105" s="83"/>
      <x:c r="D105" s="83"/>
      <x:c r="E105" s="83"/>
      <x:c r="F105" s="83"/>
      <x:c r="G105" s="83"/>
      <x:c r="H105" s="83"/>
      <x:c r="I105" s="83"/>
      <x:c r="J105" s="83"/>
      <x:c r="K105" s="83"/>
      <x:c r="L105" s="83"/>
      <x:c r="M105" s="75" t="str">
        <x:f>IF(COUNTA(A105:L105)=0,"",IF(AND(A105&lt;&gt;"",B105&lt;&gt;"",C105="N4",OR(D105="Ngữ pháp",D105="Đọc",D105="Nghe",D105="Từ và kanji",D105="Giao tiếp"),OR(F105="Mới",F105="Ôn lại",F105="Hỗ trợ",F105="Luyện"),ISNUMBER(G105),ISNUMBER(H105),ISNUMBER(I105),ISNUMBER(J105),G105&gt;=0,H105&gt;=G105,I105&gt;=H105,I105&gt;0,J105&gt;=0,MOD(G105,1)=0,MOD(H105,1)=0,MOD(I105,1)=0,COUNTIFS($A$8:A105,A105,$D$8:D105,D105,$F$8:F105,F105)=1),"Hợp lệ","Kiểm tra/trùng"))</x:f>
      </x:c>
    </x:row>
    <x:row r="106" ht="27" customHeight="1">
      <x:c r="A106" s="83"/>
      <x:c r="B106" s="83"/>
      <x:c r="C106" s="83"/>
      <x:c r="D106" s="83"/>
      <x:c r="E106" s="83"/>
      <x:c r="F106" s="83"/>
      <x:c r="G106" s="83"/>
      <x:c r="H106" s="83"/>
      <x:c r="I106" s="83"/>
      <x:c r="J106" s="83"/>
      <x:c r="K106" s="83"/>
      <x:c r="L106" s="83"/>
      <x:c r="M106" s="75" t="str">
        <x:f>IF(COUNTA(A106:L106)=0,"",IF(AND(A106&lt;&gt;"",B106&lt;&gt;"",C106="N4",OR(D106="Ngữ pháp",D106="Đọc",D106="Nghe",D106="Từ và kanji",D106="Giao tiếp"),OR(F106="Mới",F106="Ôn lại",F106="Hỗ trợ",F106="Luyện"),ISNUMBER(G106),ISNUMBER(H106),ISNUMBER(I106),ISNUMBER(J106),G106&gt;=0,H106&gt;=G106,I106&gt;=H106,I106&gt;0,J106&gt;=0,MOD(G106,1)=0,MOD(H106,1)=0,MOD(I106,1)=0,COUNTIFS($A$8:A106,A106,$D$8:D106,D106,$F$8:F106,F106)=1),"Hợp lệ","Kiểm tra/trùng"))</x:f>
      </x:c>
    </x:row>
    <x:row r="107" ht="27" customHeight="1">
      <x:c r="A107" s="83"/>
      <x:c r="B107" s="83"/>
      <x:c r="C107" s="83"/>
      <x:c r="D107" s="83"/>
      <x:c r="E107" s="83"/>
      <x:c r="F107" s="83"/>
      <x:c r="G107" s="83"/>
      <x:c r="H107" s="83"/>
      <x:c r="I107" s="83"/>
      <x:c r="J107" s="83"/>
      <x:c r="K107" s="83"/>
      <x:c r="L107" s="83"/>
      <x:c r="M107" s="75" t="str">
        <x:f>IF(COUNTA(A107:L107)=0,"",IF(AND(A107&lt;&gt;"",B107&lt;&gt;"",C107="N4",OR(D107="Ngữ pháp",D107="Đọc",D107="Nghe",D107="Từ và kanji",D107="Giao tiếp"),OR(F107="Mới",F107="Ôn lại",F107="Hỗ trợ",F107="Luyện"),ISNUMBER(G107),ISNUMBER(H107),ISNUMBER(I107),ISNUMBER(J107),G107&gt;=0,H107&gt;=G107,I107&gt;=H107,I107&gt;0,J107&gt;=0,MOD(G107,1)=0,MOD(H107,1)=0,MOD(I107,1)=0,COUNTIFS($A$8:A107,A107,$D$8:D107,D107,$F$8:F107,F107)=1),"Hợp lệ","Kiểm tra/trùng"))</x:f>
      </x:c>
    </x:row>
    <x:row r="108" ht="27" customHeight="1">
      <x:c r="A108" s="83"/>
      <x:c r="B108" s="83"/>
      <x:c r="C108" s="83"/>
      <x:c r="D108" s="83"/>
      <x:c r="E108" s="83"/>
      <x:c r="F108" s="83"/>
      <x:c r="G108" s="83"/>
      <x:c r="H108" s="83"/>
      <x:c r="I108" s="83"/>
      <x:c r="J108" s="83"/>
      <x:c r="K108" s="83"/>
      <x:c r="L108" s="83"/>
      <x:c r="M108" s="75" t="str">
        <x:f>IF(COUNTA(A108:L108)=0,"",IF(AND(A108&lt;&gt;"",B108&lt;&gt;"",C108="N4",OR(D108="Ngữ pháp",D108="Đọc",D108="Nghe",D108="Từ và kanji",D108="Giao tiếp"),OR(F108="Mới",F108="Ôn lại",F108="Hỗ trợ",F108="Luyện"),ISNUMBER(G108),ISNUMBER(H108),ISNUMBER(I108),ISNUMBER(J108),G108&gt;=0,H108&gt;=G108,I108&gt;=H108,I108&gt;0,J108&gt;=0,MOD(G108,1)=0,MOD(H108,1)=0,MOD(I108,1)=0,COUNTIFS($A$8:A108,A108,$D$8:D108,D108,$F$8:F108,F108)=1),"Hợp lệ","Kiểm tra/trùng"))</x:f>
      </x:c>
    </x:row>
    <x:row r="109" ht="27" customHeight="1">
      <x:c r="A109" s="83"/>
      <x:c r="B109" s="83"/>
      <x:c r="C109" s="83"/>
      <x:c r="D109" s="83"/>
      <x:c r="E109" s="83"/>
      <x:c r="F109" s="83"/>
      <x:c r="G109" s="83"/>
      <x:c r="H109" s="83"/>
      <x:c r="I109" s="83"/>
      <x:c r="J109" s="83"/>
      <x:c r="K109" s="83"/>
      <x:c r="L109" s="83"/>
      <x:c r="M109" s="75" t="str">
        <x:f>IF(COUNTA(A109:L109)=0,"",IF(AND(A109&lt;&gt;"",B109&lt;&gt;"",C109="N4",OR(D109="Ngữ pháp",D109="Đọc",D109="Nghe",D109="Từ và kanji",D109="Giao tiếp"),OR(F109="Mới",F109="Ôn lại",F109="Hỗ trợ",F109="Luyện"),ISNUMBER(G109),ISNUMBER(H109),ISNUMBER(I109),ISNUMBER(J109),G109&gt;=0,H109&gt;=G109,I109&gt;=H109,I109&gt;0,J109&gt;=0,MOD(G109,1)=0,MOD(H109,1)=0,MOD(I109,1)=0,COUNTIFS($A$8:A109,A109,$D$8:D109,D109,$F$8:F109,F109)=1),"Hợp lệ","Kiểm tra/trùng"))</x:f>
      </x:c>
    </x:row>
    <x:row r="110" ht="27" customHeight="1">
      <x:c r="A110" s="83"/>
      <x:c r="B110" s="83"/>
      <x:c r="C110" s="83"/>
      <x:c r="D110" s="83"/>
      <x:c r="E110" s="83"/>
      <x:c r="F110" s="83"/>
      <x:c r="G110" s="83"/>
      <x:c r="H110" s="83"/>
      <x:c r="I110" s="83"/>
      <x:c r="J110" s="83"/>
      <x:c r="K110" s="83"/>
      <x:c r="L110" s="83"/>
      <x:c r="M110" s="75" t="str">
        <x:f>IF(COUNTA(A110:L110)=0,"",IF(AND(A110&lt;&gt;"",B110&lt;&gt;"",C110="N4",OR(D110="Ngữ pháp",D110="Đọc",D110="Nghe",D110="Từ và kanji",D110="Giao tiếp"),OR(F110="Mới",F110="Ôn lại",F110="Hỗ trợ",F110="Luyện"),ISNUMBER(G110),ISNUMBER(H110),ISNUMBER(I110),ISNUMBER(J110),G110&gt;=0,H110&gt;=G110,I110&gt;=H110,I110&gt;0,J110&gt;=0,MOD(G110,1)=0,MOD(H110,1)=0,MOD(I110,1)=0,COUNTIFS($A$8:A110,A110,$D$8:D110,D110,$F$8:F110,F110)=1),"Hợp lệ","Kiểm tra/trùng"))</x:f>
      </x:c>
    </x:row>
    <x:row r="111" ht="27" customHeight="1">
      <x:c r="A111" s="83"/>
      <x:c r="B111" s="83"/>
      <x:c r="C111" s="83"/>
      <x:c r="D111" s="83"/>
      <x:c r="E111" s="83"/>
      <x:c r="F111" s="83"/>
      <x:c r="G111" s="83"/>
      <x:c r="H111" s="83"/>
      <x:c r="I111" s="83"/>
      <x:c r="J111" s="83"/>
      <x:c r="K111" s="83"/>
      <x:c r="L111" s="83"/>
      <x:c r="M111" s="75" t="str">
        <x:f>IF(COUNTA(A111:L111)=0,"",IF(AND(A111&lt;&gt;"",B111&lt;&gt;"",C111="N4",OR(D111="Ngữ pháp",D111="Đọc",D111="Nghe",D111="Từ và kanji",D111="Giao tiếp"),OR(F111="Mới",F111="Ôn lại",F111="Hỗ trợ",F111="Luyện"),ISNUMBER(G111),ISNUMBER(H111),ISNUMBER(I111),ISNUMBER(J111),G111&gt;=0,H111&gt;=G111,I111&gt;=H111,I111&gt;0,J111&gt;=0,MOD(G111,1)=0,MOD(H111,1)=0,MOD(I111,1)=0,COUNTIFS($A$8:A111,A111,$D$8:D111,D111,$F$8:F111,F111)=1),"Hợp lệ","Kiểm tra/trùng"))</x:f>
      </x:c>
    </x:row>
    <x:row r="112" ht="27" customHeight="1">
      <x:c r="A112" s="83"/>
      <x:c r="B112" s="83"/>
      <x:c r="C112" s="83"/>
      <x:c r="D112" s="83"/>
      <x:c r="E112" s="83"/>
      <x:c r="F112" s="83"/>
      <x:c r="G112" s="83"/>
      <x:c r="H112" s="83"/>
      <x:c r="I112" s="83"/>
      <x:c r="J112" s="83"/>
      <x:c r="K112" s="83"/>
      <x:c r="L112" s="83"/>
      <x:c r="M112" s="75" t="str">
        <x:f>IF(COUNTA(A112:L112)=0,"",IF(AND(A112&lt;&gt;"",B112&lt;&gt;"",C112="N4",OR(D112="Ngữ pháp",D112="Đọc",D112="Nghe",D112="Từ và kanji",D112="Giao tiếp"),OR(F112="Mới",F112="Ôn lại",F112="Hỗ trợ",F112="Luyện"),ISNUMBER(G112),ISNUMBER(H112),ISNUMBER(I112),ISNUMBER(J112),G112&gt;=0,H112&gt;=G112,I112&gt;=H112,I112&gt;0,J112&gt;=0,MOD(G112,1)=0,MOD(H112,1)=0,MOD(I112,1)=0,COUNTIFS($A$8:A112,A112,$D$8:D112,D112,$F$8:F112,F112)=1),"Hợp lệ","Kiểm tra/trùng"))</x:f>
      </x:c>
    </x:row>
    <x:row r="113" ht="27" customHeight="1">
      <x:c r="A113" s="83"/>
      <x:c r="B113" s="83"/>
      <x:c r="C113" s="83"/>
      <x:c r="D113" s="83"/>
      <x:c r="E113" s="83"/>
      <x:c r="F113" s="83"/>
      <x:c r="G113" s="83"/>
      <x:c r="H113" s="83"/>
      <x:c r="I113" s="83"/>
      <x:c r="J113" s="83"/>
      <x:c r="K113" s="83"/>
      <x:c r="L113" s="83"/>
      <x:c r="M113" s="75" t="str">
        <x:f>IF(COUNTA(A113:L113)=0,"",IF(AND(A113&lt;&gt;"",B113&lt;&gt;"",C113="N4",OR(D113="Ngữ pháp",D113="Đọc",D113="Nghe",D113="Từ và kanji",D113="Giao tiếp"),OR(F113="Mới",F113="Ôn lại",F113="Hỗ trợ",F113="Luyện"),ISNUMBER(G113),ISNUMBER(H113),ISNUMBER(I113),ISNUMBER(J113),G113&gt;=0,H113&gt;=G113,I113&gt;=H113,I113&gt;0,J113&gt;=0,MOD(G113,1)=0,MOD(H113,1)=0,MOD(I113,1)=0,COUNTIFS($A$8:A113,A113,$D$8:D113,D113,$F$8:F113,F113)=1),"Hợp lệ","Kiểm tra/trùng"))</x:f>
      </x:c>
    </x:row>
    <x:row r="114" ht="27" customHeight="1">
      <x:c r="A114" s="83"/>
      <x:c r="B114" s="83"/>
      <x:c r="C114" s="83"/>
      <x:c r="D114" s="83"/>
      <x:c r="E114" s="83"/>
      <x:c r="F114" s="83"/>
      <x:c r="G114" s="83"/>
      <x:c r="H114" s="83"/>
      <x:c r="I114" s="83"/>
      <x:c r="J114" s="83"/>
      <x:c r="K114" s="83"/>
      <x:c r="L114" s="83"/>
      <x:c r="M114" s="75" t="str">
        <x:f>IF(COUNTA(A114:L114)=0,"",IF(AND(A114&lt;&gt;"",B114&lt;&gt;"",C114="N4",OR(D114="Ngữ pháp",D114="Đọc",D114="Nghe",D114="Từ và kanji",D114="Giao tiếp"),OR(F114="Mới",F114="Ôn lại",F114="Hỗ trợ",F114="Luyện"),ISNUMBER(G114),ISNUMBER(H114),ISNUMBER(I114),ISNUMBER(J114),G114&gt;=0,H114&gt;=G114,I114&gt;=H114,I114&gt;0,J114&gt;=0,MOD(G114,1)=0,MOD(H114,1)=0,MOD(I114,1)=0,COUNTIFS($A$8:A114,A114,$D$8:D114,D114,$F$8:F114,F114)=1),"Hợp lệ","Kiểm tra/trùng"))</x:f>
      </x:c>
    </x:row>
    <x:row r="115" ht="27" customHeight="1">
      <x:c r="A115" s="83"/>
      <x:c r="B115" s="83"/>
      <x:c r="C115" s="83"/>
      <x:c r="D115" s="83"/>
      <x:c r="E115" s="83"/>
      <x:c r="F115" s="83"/>
      <x:c r="G115" s="83"/>
      <x:c r="H115" s="83"/>
      <x:c r="I115" s="83"/>
      <x:c r="J115" s="83"/>
      <x:c r="K115" s="83"/>
      <x:c r="L115" s="83"/>
      <x:c r="M115" s="75" t="str">
        <x:f>IF(COUNTA(A115:L115)=0,"",IF(AND(A115&lt;&gt;"",B115&lt;&gt;"",C115="N4",OR(D115="Ngữ pháp",D115="Đọc",D115="Nghe",D115="Từ và kanji",D115="Giao tiếp"),OR(F115="Mới",F115="Ôn lại",F115="Hỗ trợ",F115="Luyện"),ISNUMBER(G115),ISNUMBER(H115),ISNUMBER(I115),ISNUMBER(J115),G115&gt;=0,H115&gt;=G115,I115&gt;=H115,I115&gt;0,J115&gt;=0,MOD(G115,1)=0,MOD(H115,1)=0,MOD(I115,1)=0,COUNTIFS($A$8:A115,A115,$D$8:D115,D115,$F$8:F115,F115)=1),"Hợp lệ","Kiểm tra/trùng"))</x:f>
      </x:c>
    </x:row>
    <x:row r="116" ht="27" customHeight="1">
      <x:c r="A116" s="83"/>
      <x:c r="B116" s="83"/>
      <x:c r="C116" s="83"/>
      <x:c r="D116" s="83"/>
      <x:c r="E116" s="83"/>
      <x:c r="F116" s="83"/>
      <x:c r="G116" s="83"/>
      <x:c r="H116" s="83"/>
      <x:c r="I116" s="83"/>
      <x:c r="J116" s="83"/>
      <x:c r="K116" s="83"/>
      <x:c r="L116" s="83"/>
      <x:c r="M116" s="75" t="str">
        <x:f>IF(COUNTA(A116:L116)=0,"",IF(AND(A116&lt;&gt;"",B116&lt;&gt;"",C116="N4",OR(D116="Ngữ pháp",D116="Đọc",D116="Nghe",D116="Từ và kanji",D116="Giao tiếp"),OR(F116="Mới",F116="Ôn lại",F116="Hỗ trợ",F116="Luyện"),ISNUMBER(G116),ISNUMBER(H116),ISNUMBER(I116),ISNUMBER(J116),G116&gt;=0,H116&gt;=G116,I116&gt;=H116,I116&gt;0,J116&gt;=0,MOD(G116,1)=0,MOD(H116,1)=0,MOD(I116,1)=0,COUNTIFS($A$8:A116,A116,$D$8:D116,D116,$F$8:F116,F116)=1),"Hợp lệ","Kiểm tra/trùng"))</x:f>
      </x:c>
    </x:row>
    <x:row r="117" ht="27" customHeight="1">
      <x:c r="A117" s="83"/>
      <x:c r="B117" s="83"/>
      <x:c r="C117" s="83"/>
      <x:c r="D117" s="83"/>
      <x:c r="E117" s="83"/>
      <x:c r="F117" s="83"/>
      <x:c r="G117" s="83"/>
      <x:c r="H117" s="83"/>
      <x:c r="I117" s="83"/>
      <x:c r="J117" s="83"/>
      <x:c r="K117" s="83"/>
      <x:c r="L117" s="83"/>
      <x:c r="M117" s="75" t="str">
        <x:f>IF(COUNTA(A117:L117)=0,"",IF(AND(A117&lt;&gt;"",B117&lt;&gt;"",C117="N4",OR(D117="Ngữ pháp",D117="Đọc",D117="Nghe",D117="Từ và kanji",D117="Giao tiếp"),OR(F117="Mới",F117="Ôn lại",F117="Hỗ trợ",F117="Luyện"),ISNUMBER(G117),ISNUMBER(H117),ISNUMBER(I117),ISNUMBER(J117),G117&gt;=0,H117&gt;=G117,I117&gt;=H117,I117&gt;0,J117&gt;=0,MOD(G117,1)=0,MOD(H117,1)=0,MOD(I117,1)=0,COUNTIFS($A$8:A117,A117,$D$8:D117,D117,$F$8:F117,F117)=1),"Hợp lệ","Kiểm tra/trùng"))</x:f>
      </x:c>
    </x:row>
    <x:row r="118" ht="27" customHeight="1">
      <x:c r="A118" s="83"/>
      <x:c r="B118" s="83"/>
      <x:c r="C118" s="83"/>
      <x:c r="D118" s="83"/>
      <x:c r="E118" s="83"/>
      <x:c r="F118" s="83"/>
      <x:c r="G118" s="83"/>
      <x:c r="H118" s="83"/>
      <x:c r="I118" s="83"/>
      <x:c r="J118" s="83"/>
      <x:c r="K118" s="83"/>
      <x:c r="L118" s="83"/>
      <x:c r="M118" s="75" t="str">
        <x:f>IF(COUNTA(A118:L118)=0,"",IF(AND(A118&lt;&gt;"",B118&lt;&gt;"",C118="N4",OR(D118="Ngữ pháp",D118="Đọc",D118="Nghe",D118="Từ và kanji",D118="Giao tiếp"),OR(F118="Mới",F118="Ôn lại",F118="Hỗ trợ",F118="Luyện"),ISNUMBER(G118),ISNUMBER(H118),ISNUMBER(I118),ISNUMBER(J118),G118&gt;=0,H118&gt;=G118,I118&gt;=H118,I118&gt;0,J118&gt;=0,MOD(G118,1)=0,MOD(H118,1)=0,MOD(I118,1)=0,COUNTIFS($A$8:A118,A118,$D$8:D118,D118,$F$8:F118,F118)=1),"Hợp lệ","Kiểm tra/trùng"))</x:f>
      </x:c>
    </x:row>
    <x:row r="119" ht="27" customHeight="1">
      <x:c r="A119" s="83"/>
      <x:c r="B119" s="83"/>
      <x:c r="C119" s="83"/>
      <x:c r="D119" s="83"/>
      <x:c r="E119" s="83"/>
      <x:c r="F119" s="83"/>
      <x:c r="G119" s="83"/>
      <x:c r="H119" s="83"/>
      <x:c r="I119" s="83"/>
      <x:c r="J119" s="83"/>
      <x:c r="K119" s="83"/>
      <x:c r="L119" s="83"/>
      <x:c r="M119" s="75" t="str">
        <x:f>IF(COUNTA(A119:L119)=0,"",IF(AND(A119&lt;&gt;"",B119&lt;&gt;"",C119="N4",OR(D119="Ngữ pháp",D119="Đọc",D119="Nghe",D119="Từ và kanji",D119="Giao tiếp"),OR(F119="Mới",F119="Ôn lại",F119="Hỗ trợ",F119="Luyện"),ISNUMBER(G119),ISNUMBER(H119),ISNUMBER(I119),ISNUMBER(J119),G119&gt;=0,H119&gt;=G119,I119&gt;=H119,I119&gt;0,J119&gt;=0,MOD(G119,1)=0,MOD(H119,1)=0,MOD(I119,1)=0,COUNTIFS($A$8:A119,A119,$D$8:D119,D119,$F$8:F119,F119)=1),"Hợp lệ","Kiểm tra/trùng"))</x:f>
      </x:c>
    </x:row>
    <x:row r="120" ht="27" customHeight="1">
      <x:c r="A120" s="83"/>
      <x:c r="B120" s="83"/>
      <x:c r="C120" s="83"/>
      <x:c r="D120" s="83"/>
      <x:c r="E120" s="83"/>
      <x:c r="F120" s="83"/>
      <x:c r="G120" s="83"/>
      <x:c r="H120" s="83"/>
      <x:c r="I120" s="83"/>
      <x:c r="J120" s="83"/>
      <x:c r="K120" s="83"/>
      <x:c r="L120" s="83"/>
      <x:c r="M120" s="75" t="str">
        <x:f>IF(COUNTA(A120:L120)=0,"",IF(AND(A120&lt;&gt;"",B120&lt;&gt;"",C120="N4",OR(D120="Ngữ pháp",D120="Đọc",D120="Nghe",D120="Từ và kanji",D120="Giao tiếp"),OR(F120="Mới",F120="Ôn lại",F120="Hỗ trợ",F120="Luyện"),ISNUMBER(G120),ISNUMBER(H120),ISNUMBER(I120),ISNUMBER(J120),G120&gt;=0,H120&gt;=G120,I120&gt;=H120,I120&gt;0,J120&gt;=0,MOD(G120,1)=0,MOD(H120,1)=0,MOD(I120,1)=0,COUNTIFS($A$8:A120,A120,$D$8:D120,D120,$F$8:F120,F120)=1),"Hợp lệ","Kiểm tra/trùng"))</x:f>
      </x:c>
    </x:row>
    <x:row r="121" ht="27" customHeight="1">
      <x:c r="A121" s="83"/>
      <x:c r="B121" s="83"/>
      <x:c r="C121" s="83"/>
      <x:c r="D121" s="83"/>
      <x:c r="E121" s="83"/>
      <x:c r="F121" s="83"/>
      <x:c r="G121" s="83"/>
      <x:c r="H121" s="83"/>
      <x:c r="I121" s="83"/>
      <x:c r="J121" s="83"/>
      <x:c r="K121" s="83"/>
      <x:c r="L121" s="83"/>
      <x:c r="M121" s="75" t="str">
        <x:f>IF(COUNTA(A121:L121)=0,"",IF(AND(A121&lt;&gt;"",B121&lt;&gt;"",C121="N4",OR(D121="Ngữ pháp",D121="Đọc",D121="Nghe",D121="Từ và kanji",D121="Giao tiếp"),OR(F121="Mới",F121="Ôn lại",F121="Hỗ trợ",F121="Luyện"),ISNUMBER(G121),ISNUMBER(H121),ISNUMBER(I121),ISNUMBER(J121),G121&gt;=0,H121&gt;=G121,I121&gt;=H121,I121&gt;0,J121&gt;=0,MOD(G121,1)=0,MOD(H121,1)=0,MOD(I121,1)=0,COUNTIFS($A$8:A121,A121,$D$8:D121,D121,$F$8:F121,F121)=1),"Hợp lệ","Kiểm tra/trùng"))</x:f>
      </x:c>
    </x:row>
    <x:row r="122" ht="27" customHeight="1">
      <x:c r="A122" s="83"/>
      <x:c r="B122" s="83"/>
      <x:c r="C122" s="83"/>
      <x:c r="D122" s="83"/>
      <x:c r="E122" s="83"/>
      <x:c r="F122" s="83"/>
      <x:c r="G122" s="83"/>
      <x:c r="H122" s="83"/>
      <x:c r="I122" s="83"/>
      <x:c r="J122" s="83"/>
      <x:c r="K122" s="83"/>
      <x:c r="L122" s="83"/>
      <x:c r="M122" s="75" t="str">
        <x:f>IF(COUNTA(A122:L122)=0,"",IF(AND(A122&lt;&gt;"",B122&lt;&gt;"",C122="N4",OR(D122="Ngữ pháp",D122="Đọc",D122="Nghe",D122="Từ và kanji",D122="Giao tiếp"),OR(F122="Mới",F122="Ôn lại",F122="Hỗ trợ",F122="Luyện"),ISNUMBER(G122),ISNUMBER(H122),ISNUMBER(I122),ISNUMBER(J122),G122&gt;=0,H122&gt;=G122,I122&gt;=H122,I122&gt;0,J122&gt;=0,MOD(G122,1)=0,MOD(H122,1)=0,MOD(I122,1)=0,COUNTIFS($A$8:A122,A122,$D$8:D122,D122,$F$8:F122,F122)=1),"Hợp lệ","Kiểm tra/trùng"))</x:f>
      </x:c>
    </x:row>
    <x:row r="123" ht="27" customHeight="1">
      <x:c r="A123" s="83"/>
      <x:c r="B123" s="83"/>
      <x:c r="C123" s="83"/>
      <x:c r="D123" s="83"/>
      <x:c r="E123" s="83"/>
      <x:c r="F123" s="83"/>
      <x:c r="G123" s="83"/>
      <x:c r="H123" s="83"/>
      <x:c r="I123" s="83"/>
      <x:c r="J123" s="83"/>
      <x:c r="K123" s="83"/>
      <x:c r="L123" s="83"/>
      <x:c r="M123" s="75" t="str">
        <x:f>IF(COUNTA(A123:L123)=0,"",IF(AND(A123&lt;&gt;"",B123&lt;&gt;"",C123="N4",OR(D123="Ngữ pháp",D123="Đọc",D123="Nghe",D123="Từ và kanji",D123="Giao tiếp"),OR(F123="Mới",F123="Ôn lại",F123="Hỗ trợ",F123="Luyện"),ISNUMBER(G123),ISNUMBER(H123),ISNUMBER(I123),ISNUMBER(J123),G123&gt;=0,H123&gt;=G123,I123&gt;=H123,I123&gt;0,J123&gt;=0,MOD(G123,1)=0,MOD(H123,1)=0,MOD(I123,1)=0,COUNTIFS($A$8:A123,A123,$D$8:D123,D123,$F$8:F123,F123)=1),"Hợp lệ","Kiểm tra/trùng"))</x:f>
      </x:c>
    </x:row>
    <x:row r="124" ht="27" customHeight="1">
      <x:c r="A124" s="83"/>
      <x:c r="B124" s="83"/>
      <x:c r="C124" s="83"/>
      <x:c r="D124" s="83"/>
      <x:c r="E124" s="83"/>
      <x:c r="F124" s="83"/>
      <x:c r="G124" s="83"/>
      <x:c r="H124" s="83"/>
      <x:c r="I124" s="83"/>
      <x:c r="J124" s="83"/>
      <x:c r="K124" s="83"/>
      <x:c r="L124" s="83"/>
      <x:c r="M124" s="75" t="str">
        <x:f>IF(COUNTA(A124:L124)=0,"",IF(AND(A124&lt;&gt;"",B124&lt;&gt;"",C124="N4",OR(D124="Ngữ pháp",D124="Đọc",D124="Nghe",D124="Từ và kanji",D124="Giao tiếp"),OR(F124="Mới",F124="Ôn lại",F124="Hỗ trợ",F124="Luyện"),ISNUMBER(G124),ISNUMBER(H124),ISNUMBER(I124),ISNUMBER(J124),G124&gt;=0,H124&gt;=G124,I124&gt;=H124,I124&gt;0,J124&gt;=0,MOD(G124,1)=0,MOD(H124,1)=0,MOD(I124,1)=0,COUNTIFS($A$8:A124,A124,$D$8:D124,D124,$F$8:F124,F124)=1),"Hợp lệ","Kiểm tra/trùng"))</x:f>
      </x:c>
    </x:row>
    <x:row r="125" ht="27" customHeight="1">
      <x:c r="A125" s="83"/>
      <x:c r="B125" s="83"/>
      <x:c r="C125" s="83"/>
      <x:c r="D125" s="83"/>
      <x:c r="E125" s="83"/>
      <x:c r="F125" s="83"/>
      <x:c r="G125" s="83"/>
      <x:c r="H125" s="83"/>
      <x:c r="I125" s="83"/>
      <x:c r="J125" s="83"/>
      <x:c r="K125" s="83"/>
      <x:c r="L125" s="83"/>
      <x:c r="M125" s="75" t="str">
        <x:f>IF(COUNTA(A125:L125)=0,"",IF(AND(A125&lt;&gt;"",B125&lt;&gt;"",C125="N4",OR(D125="Ngữ pháp",D125="Đọc",D125="Nghe",D125="Từ và kanji",D125="Giao tiếp"),OR(F125="Mới",F125="Ôn lại",F125="Hỗ trợ",F125="Luyện"),ISNUMBER(G125),ISNUMBER(H125),ISNUMBER(I125),ISNUMBER(J125),G125&gt;=0,H125&gt;=G125,I125&gt;=H125,I125&gt;0,J125&gt;=0,MOD(G125,1)=0,MOD(H125,1)=0,MOD(I125,1)=0,COUNTIFS($A$8:A125,A125,$D$8:D125,D125,$F$8:F125,F125)=1),"Hợp lệ","Kiểm tra/trùng"))</x:f>
      </x:c>
    </x:row>
    <x:row r="126" ht="27" customHeight="1">
      <x:c r="A126" s="83"/>
      <x:c r="B126" s="83"/>
      <x:c r="C126" s="83"/>
      <x:c r="D126" s="83"/>
      <x:c r="E126" s="83"/>
      <x:c r="F126" s="83"/>
      <x:c r="G126" s="83"/>
      <x:c r="H126" s="83"/>
      <x:c r="I126" s="83"/>
      <x:c r="J126" s="83"/>
      <x:c r="K126" s="83"/>
      <x:c r="L126" s="83"/>
      <x:c r="M126" s="75" t="str">
        <x:f>IF(COUNTA(A126:L126)=0,"",IF(AND(A126&lt;&gt;"",B126&lt;&gt;"",C126="N4",OR(D126="Ngữ pháp",D126="Đọc",D126="Nghe",D126="Từ và kanji",D126="Giao tiếp"),OR(F126="Mới",F126="Ôn lại",F126="Hỗ trợ",F126="Luyện"),ISNUMBER(G126),ISNUMBER(H126),ISNUMBER(I126),ISNUMBER(J126),G126&gt;=0,H126&gt;=G126,I126&gt;=H126,I126&gt;0,J126&gt;=0,MOD(G126,1)=0,MOD(H126,1)=0,MOD(I126,1)=0,COUNTIFS($A$8:A126,A126,$D$8:D126,D126,$F$8:F126,F126)=1),"Hợp lệ","Kiểm tra/trùng"))</x:f>
      </x:c>
    </x:row>
    <x:row r="127" ht="27" customHeight="1">
      <x:c r="A127" s="83"/>
      <x:c r="B127" s="83"/>
      <x:c r="C127" s="83"/>
      <x:c r="D127" s="83"/>
      <x:c r="E127" s="83"/>
      <x:c r="F127" s="83"/>
      <x:c r="G127" s="83"/>
      <x:c r="H127" s="83"/>
      <x:c r="I127" s="83"/>
      <x:c r="J127" s="83"/>
      <x:c r="K127" s="83"/>
      <x:c r="L127" s="83"/>
      <x:c r="M127" s="75" t="str">
        <x:f>IF(COUNTA(A127:L127)=0,"",IF(AND(A127&lt;&gt;"",B127&lt;&gt;"",C127="N4",OR(D127="Ngữ pháp",D127="Đọc",D127="Nghe",D127="Từ và kanji",D127="Giao tiếp"),OR(F127="Mới",F127="Ôn lại",F127="Hỗ trợ",F127="Luyện"),ISNUMBER(G127),ISNUMBER(H127),ISNUMBER(I127),ISNUMBER(J127),G127&gt;=0,H127&gt;=G127,I127&gt;=H127,I127&gt;0,J127&gt;=0,MOD(G127,1)=0,MOD(H127,1)=0,MOD(I127,1)=0,COUNTIFS($A$8:A127,A127,$D$8:D127,D127,$F$8:F127,F127)=1),"Hợp lệ","Kiểm tra/trùng"))</x:f>
      </x:c>
    </x:row>
    <x:row r="128" ht="27" customHeight="1">
      <x:c r="A128" s="83"/>
      <x:c r="B128" s="83"/>
      <x:c r="C128" s="83"/>
      <x:c r="D128" s="83"/>
      <x:c r="E128" s="83"/>
      <x:c r="F128" s="83"/>
      <x:c r="G128" s="83"/>
      <x:c r="H128" s="83"/>
      <x:c r="I128" s="83"/>
      <x:c r="J128" s="83"/>
      <x:c r="K128" s="83"/>
      <x:c r="L128" s="83"/>
      <x:c r="M128" s="75" t="str">
        <x:f>IF(COUNTA(A128:L128)=0,"",IF(AND(A128&lt;&gt;"",B128&lt;&gt;"",C128="N4",OR(D128="Ngữ pháp",D128="Đọc",D128="Nghe",D128="Từ và kanji",D128="Giao tiếp"),OR(F128="Mới",F128="Ôn lại",F128="Hỗ trợ",F128="Luyện"),ISNUMBER(G128),ISNUMBER(H128),ISNUMBER(I128),ISNUMBER(J128),G128&gt;=0,H128&gt;=G128,I128&gt;=H128,I128&gt;0,J128&gt;=0,MOD(G128,1)=0,MOD(H128,1)=0,MOD(I128,1)=0,COUNTIFS($A$8:A128,A128,$D$8:D128,D128,$F$8:F128,F128)=1),"Hợp lệ","Kiểm tra/trùng"))</x:f>
      </x:c>
    </x:row>
    <x:row r="129" ht="27" customHeight="1">
      <x:c r="A129" s="83"/>
      <x:c r="B129" s="83"/>
      <x:c r="C129" s="83"/>
      <x:c r="D129" s="83"/>
      <x:c r="E129" s="83"/>
      <x:c r="F129" s="83"/>
      <x:c r="G129" s="83"/>
      <x:c r="H129" s="83"/>
      <x:c r="I129" s="83"/>
      <x:c r="J129" s="83"/>
      <x:c r="K129" s="83"/>
      <x:c r="L129" s="83"/>
      <x:c r="M129" s="75" t="str">
        <x:f>IF(COUNTA(A129:L129)=0,"",IF(AND(A129&lt;&gt;"",B129&lt;&gt;"",C129="N4",OR(D129="Ngữ pháp",D129="Đọc",D129="Nghe",D129="Từ và kanji",D129="Giao tiếp"),OR(F129="Mới",F129="Ôn lại",F129="Hỗ trợ",F129="Luyện"),ISNUMBER(G129),ISNUMBER(H129),ISNUMBER(I129),ISNUMBER(J129),G129&gt;=0,H129&gt;=G129,I129&gt;=H129,I129&gt;0,J129&gt;=0,MOD(G129,1)=0,MOD(H129,1)=0,MOD(I129,1)=0,COUNTIFS($A$8:A129,A129,$D$8:D129,D129,$F$8:F129,F129)=1),"Hợp lệ","Kiểm tra/trùng"))</x:f>
      </x:c>
    </x:row>
    <x:row r="130" ht="27" customHeight="1">
      <x:c r="A130" s="83"/>
      <x:c r="B130" s="83"/>
      <x:c r="C130" s="83"/>
      <x:c r="D130" s="83"/>
      <x:c r="E130" s="83"/>
      <x:c r="F130" s="83"/>
      <x:c r="G130" s="83"/>
      <x:c r="H130" s="83"/>
      <x:c r="I130" s="83"/>
      <x:c r="J130" s="83"/>
      <x:c r="K130" s="83"/>
      <x:c r="L130" s="83"/>
      <x:c r="M130" s="75" t="str">
        <x:f>IF(COUNTA(A130:L130)=0,"",IF(AND(A130&lt;&gt;"",B130&lt;&gt;"",C130="N4",OR(D130="Ngữ pháp",D130="Đọc",D130="Nghe",D130="Từ và kanji",D130="Giao tiếp"),OR(F130="Mới",F130="Ôn lại",F130="Hỗ trợ",F130="Luyện"),ISNUMBER(G130),ISNUMBER(H130),ISNUMBER(I130),ISNUMBER(J130),G130&gt;=0,H130&gt;=G130,I130&gt;=H130,I130&gt;0,J130&gt;=0,MOD(G130,1)=0,MOD(H130,1)=0,MOD(I130,1)=0,COUNTIFS($A$8:A130,A130,$D$8:D130,D130,$F$8:F130,F130)=1),"Hợp lệ","Kiểm tra/trùng"))</x:f>
      </x:c>
    </x:row>
    <x:row r="131" ht="27" customHeight="1">
      <x:c r="A131" s="83"/>
      <x:c r="B131" s="83"/>
      <x:c r="C131" s="83"/>
      <x:c r="D131" s="83"/>
      <x:c r="E131" s="83"/>
      <x:c r="F131" s="83"/>
      <x:c r="G131" s="83"/>
      <x:c r="H131" s="83"/>
      <x:c r="I131" s="83"/>
      <x:c r="J131" s="83"/>
      <x:c r="K131" s="83"/>
      <x:c r="L131" s="83"/>
      <x:c r="M131" s="75" t="str">
        <x:f>IF(COUNTA(A131:L131)=0,"",IF(AND(A131&lt;&gt;"",B131&lt;&gt;"",C131="N4",OR(D131="Ngữ pháp",D131="Đọc",D131="Nghe",D131="Từ và kanji",D131="Giao tiếp"),OR(F131="Mới",F131="Ôn lại",F131="Hỗ trợ",F131="Luyện"),ISNUMBER(G131),ISNUMBER(H131),ISNUMBER(I131),ISNUMBER(J131),G131&gt;=0,H131&gt;=G131,I131&gt;=H131,I131&gt;0,J131&gt;=0,MOD(G131,1)=0,MOD(H131,1)=0,MOD(I131,1)=0,COUNTIFS($A$8:A131,A131,$D$8:D131,D131,$F$8:F131,F131)=1),"Hợp lệ","Kiểm tra/trùng"))</x:f>
      </x:c>
    </x:row>
    <x:row r="132" ht="27" customHeight="1">
      <x:c r="A132" s="83"/>
      <x:c r="B132" s="83"/>
      <x:c r="C132" s="83"/>
      <x:c r="D132" s="83"/>
      <x:c r="E132" s="83"/>
      <x:c r="F132" s="83"/>
      <x:c r="G132" s="83"/>
      <x:c r="H132" s="83"/>
      <x:c r="I132" s="83"/>
      <x:c r="J132" s="83"/>
      <x:c r="K132" s="83"/>
      <x:c r="L132" s="83"/>
      <x:c r="M132" s="75" t="str">
        <x:f>IF(COUNTA(A132:L132)=0,"",IF(AND(A132&lt;&gt;"",B132&lt;&gt;"",C132="N4",OR(D132="Ngữ pháp",D132="Đọc",D132="Nghe",D132="Từ và kanji",D132="Giao tiếp"),OR(F132="Mới",F132="Ôn lại",F132="Hỗ trợ",F132="Luyện"),ISNUMBER(G132),ISNUMBER(H132),ISNUMBER(I132),ISNUMBER(J132),G132&gt;=0,H132&gt;=G132,I132&gt;=H132,I132&gt;0,J132&gt;=0,MOD(G132,1)=0,MOD(H132,1)=0,MOD(I132,1)=0,COUNTIFS($A$8:A132,A132,$D$8:D132,D132,$F$8:F132,F132)=1),"Hợp lệ","Kiểm tra/trùng"))</x:f>
      </x:c>
    </x:row>
    <x:row r="133" ht="27" customHeight="1">
      <x:c r="A133" s="83"/>
      <x:c r="B133" s="83"/>
      <x:c r="C133" s="83"/>
      <x:c r="D133" s="83"/>
      <x:c r="E133" s="83"/>
      <x:c r="F133" s="83"/>
      <x:c r="G133" s="83"/>
      <x:c r="H133" s="83"/>
      <x:c r="I133" s="83"/>
      <x:c r="J133" s="83"/>
      <x:c r="K133" s="83"/>
      <x:c r="L133" s="83"/>
      <x:c r="M133" s="75" t="str">
        <x:f>IF(COUNTA(A133:L133)=0,"",IF(AND(A133&lt;&gt;"",B133&lt;&gt;"",C133="N4",OR(D133="Ngữ pháp",D133="Đọc",D133="Nghe",D133="Từ và kanji",D133="Giao tiếp"),OR(F133="Mới",F133="Ôn lại",F133="Hỗ trợ",F133="Luyện"),ISNUMBER(G133),ISNUMBER(H133),ISNUMBER(I133),ISNUMBER(J133),G133&gt;=0,H133&gt;=G133,I133&gt;=H133,I133&gt;0,J133&gt;=0,MOD(G133,1)=0,MOD(H133,1)=0,MOD(I133,1)=0,COUNTIFS($A$8:A133,A133,$D$8:D133,D133,$F$8:F133,F133)=1),"Hợp lệ","Kiểm tra/trùng"))</x:f>
      </x:c>
    </x:row>
    <x:row r="134" ht="27" customHeight="1">
      <x:c r="A134" s="83"/>
      <x:c r="B134" s="83"/>
      <x:c r="C134" s="83"/>
      <x:c r="D134" s="83"/>
      <x:c r="E134" s="83"/>
      <x:c r="F134" s="83"/>
      <x:c r="G134" s="83"/>
      <x:c r="H134" s="83"/>
      <x:c r="I134" s="83"/>
      <x:c r="J134" s="83"/>
      <x:c r="K134" s="83"/>
      <x:c r="L134" s="83"/>
      <x:c r="M134" s="75" t="str">
        <x:f>IF(COUNTA(A134:L134)=0,"",IF(AND(A134&lt;&gt;"",B134&lt;&gt;"",C134="N4",OR(D134="Ngữ pháp",D134="Đọc",D134="Nghe",D134="Từ và kanji",D134="Giao tiếp"),OR(F134="Mới",F134="Ôn lại",F134="Hỗ trợ",F134="Luyện"),ISNUMBER(G134),ISNUMBER(H134),ISNUMBER(I134),ISNUMBER(J134),G134&gt;=0,H134&gt;=G134,I134&gt;=H134,I134&gt;0,J134&gt;=0,MOD(G134,1)=0,MOD(H134,1)=0,MOD(I134,1)=0,COUNTIFS($A$8:A134,A134,$D$8:D134,D134,$F$8:F134,F134)=1),"Hợp lệ","Kiểm tra/trùng"))</x:f>
      </x:c>
    </x:row>
    <x:row r="135" ht="27" customHeight="1">
      <x:c r="A135" s="83"/>
      <x:c r="B135" s="83"/>
      <x:c r="C135" s="83"/>
      <x:c r="D135" s="83"/>
      <x:c r="E135" s="83"/>
      <x:c r="F135" s="83"/>
      <x:c r="G135" s="83"/>
      <x:c r="H135" s="83"/>
      <x:c r="I135" s="83"/>
      <x:c r="J135" s="83"/>
      <x:c r="K135" s="83"/>
      <x:c r="L135" s="83"/>
      <x:c r="M135" s="75" t="str">
        <x:f>IF(COUNTA(A135:L135)=0,"",IF(AND(A135&lt;&gt;"",B135&lt;&gt;"",C135="N4",OR(D135="Ngữ pháp",D135="Đọc",D135="Nghe",D135="Từ và kanji",D135="Giao tiếp"),OR(F135="Mới",F135="Ôn lại",F135="Hỗ trợ",F135="Luyện"),ISNUMBER(G135),ISNUMBER(H135),ISNUMBER(I135),ISNUMBER(J135),G135&gt;=0,H135&gt;=G135,I135&gt;=H135,I135&gt;0,J135&gt;=0,MOD(G135,1)=0,MOD(H135,1)=0,MOD(I135,1)=0,COUNTIFS($A$8:A135,A135,$D$8:D135,D135,$F$8:F135,F135)=1),"Hợp lệ","Kiểm tra/trùng"))</x:f>
      </x:c>
    </x:row>
    <x:row r="136" ht="27" customHeight="1">
      <x:c r="A136" s="83"/>
      <x:c r="B136" s="83"/>
      <x:c r="C136" s="83"/>
      <x:c r="D136" s="83"/>
      <x:c r="E136" s="83"/>
      <x:c r="F136" s="83"/>
      <x:c r="G136" s="83"/>
      <x:c r="H136" s="83"/>
      <x:c r="I136" s="83"/>
      <x:c r="J136" s="83"/>
      <x:c r="K136" s="83"/>
      <x:c r="L136" s="83"/>
      <x:c r="M136" s="75" t="str">
        <x:f>IF(COUNTA(A136:L136)=0,"",IF(AND(A136&lt;&gt;"",B136&lt;&gt;"",C136="N4",OR(D136="Ngữ pháp",D136="Đọc",D136="Nghe",D136="Từ và kanji",D136="Giao tiếp"),OR(F136="Mới",F136="Ôn lại",F136="Hỗ trợ",F136="Luyện"),ISNUMBER(G136),ISNUMBER(H136),ISNUMBER(I136),ISNUMBER(J136),G136&gt;=0,H136&gt;=G136,I136&gt;=H136,I136&gt;0,J136&gt;=0,MOD(G136,1)=0,MOD(H136,1)=0,MOD(I136,1)=0,COUNTIFS($A$8:A136,A136,$D$8:D136,D136,$F$8:F136,F136)=1),"Hợp lệ","Kiểm tra/trùng"))</x:f>
      </x:c>
    </x:row>
    <x:row r="137" ht="27" customHeight="1">
      <x:c r="A137" s="83"/>
      <x:c r="B137" s="83"/>
      <x:c r="C137" s="83"/>
      <x:c r="D137" s="83"/>
      <x:c r="E137" s="83"/>
      <x:c r="F137" s="83"/>
      <x:c r="G137" s="83"/>
      <x:c r="H137" s="83"/>
      <x:c r="I137" s="83"/>
      <x:c r="J137" s="83"/>
      <x:c r="K137" s="83"/>
      <x:c r="L137" s="83"/>
      <x:c r="M137" s="75" t="str">
        <x:f>IF(COUNTA(A137:L137)=0,"",IF(AND(A137&lt;&gt;"",B137&lt;&gt;"",C137="N4",OR(D137="Ngữ pháp",D137="Đọc",D137="Nghe",D137="Từ và kanji",D137="Giao tiếp"),OR(F137="Mới",F137="Ôn lại",F137="Hỗ trợ",F137="Luyện"),ISNUMBER(G137),ISNUMBER(H137),ISNUMBER(I137),ISNUMBER(J137),G137&gt;=0,H137&gt;=G137,I137&gt;=H137,I137&gt;0,J137&gt;=0,MOD(G137,1)=0,MOD(H137,1)=0,MOD(I137,1)=0,COUNTIFS($A$8:A137,A137,$D$8:D137,D137,$F$8:F137,F137)=1),"Hợp lệ","Kiểm tra/trùng"))</x:f>
      </x:c>
    </x:row>
    <x:row r="138" ht="27" customHeight="1">
      <x:c r="A138" s="83"/>
      <x:c r="B138" s="83"/>
      <x:c r="C138" s="83"/>
      <x:c r="D138" s="83"/>
      <x:c r="E138" s="83"/>
      <x:c r="F138" s="83"/>
      <x:c r="G138" s="83"/>
      <x:c r="H138" s="83"/>
      <x:c r="I138" s="83"/>
      <x:c r="J138" s="83"/>
      <x:c r="K138" s="83"/>
      <x:c r="L138" s="83"/>
      <x:c r="M138" s="75" t="str">
        <x:f>IF(COUNTA(A138:L138)=0,"",IF(AND(A138&lt;&gt;"",B138&lt;&gt;"",C138="N4",OR(D138="Ngữ pháp",D138="Đọc",D138="Nghe",D138="Từ và kanji",D138="Giao tiếp"),OR(F138="Mới",F138="Ôn lại",F138="Hỗ trợ",F138="Luyện"),ISNUMBER(G138),ISNUMBER(H138),ISNUMBER(I138),ISNUMBER(J138),G138&gt;=0,H138&gt;=G138,I138&gt;=H138,I138&gt;0,J138&gt;=0,MOD(G138,1)=0,MOD(H138,1)=0,MOD(I138,1)=0,COUNTIFS($A$8:A138,A138,$D$8:D138,D138,$F$8:F138,F138)=1),"Hợp lệ","Kiểm tra/trùng"))</x:f>
      </x:c>
    </x:row>
    <x:row r="139" ht="27" customHeight="1">
      <x:c r="A139" s="83"/>
      <x:c r="B139" s="83"/>
      <x:c r="C139" s="83"/>
      <x:c r="D139" s="83"/>
      <x:c r="E139" s="83"/>
      <x:c r="F139" s="83"/>
      <x:c r="G139" s="83"/>
      <x:c r="H139" s="83"/>
      <x:c r="I139" s="83"/>
      <x:c r="J139" s="83"/>
      <x:c r="K139" s="83"/>
      <x:c r="L139" s="83"/>
      <x:c r="M139" s="75" t="str">
        <x:f>IF(COUNTA(A139:L139)=0,"",IF(AND(A139&lt;&gt;"",B139&lt;&gt;"",C139="N4",OR(D139="Ngữ pháp",D139="Đọc",D139="Nghe",D139="Từ và kanji",D139="Giao tiếp"),OR(F139="Mới",F139="Ôn lại",F139="Hỗ trợ",F139="Luyện"),ISNUMBER(G139),ISNUMBER(H139),ISNUMBER(I139),ISNUMBER(J139),G139&gt;=0,H139&gt;=G139,I139&gt;=H139,I139&gt;0,J139&gt;=0,MOD(G139,1)=0,MOD(H139,1)=0,MOD(I139,1)=0,COUNTIFS($A$8:A139,A139,$D$8:D139,D139,$F$8:F139,F139)=1),"Hợp lệ","Kiểm tra/trùng"))</x:f>
      </x:c>
    </x:row>
    <x:row r="140" ht="27" customHeight="1">
      <x:c r="A140" s="83"/>
      <x:c r="B140" s="83"/>
      <x:c r="C140" s="83"/>
      <x:c r="D140" s="83"/>
      <x:c r="E140" s="83"/>
      <x:c r="F140" s="83"/>
      <x:c r="G140" s="83"/>
      <x:c r="H140" s="83"/>
      <x:c r="I140" s="83"/>
      <x:c r="J140" s="83"/>
      <x:c r="K140" s="83"/>
      <x:c r="L140" s="83"/>
      <x:c r="M140" s="75" t="str">
        <x:f>IF(COUNTA(A140:L140)=0,"",IF(AND(A140&lt;&gt;"",B140&lt;&gt;"",C140="N4",OR(D140="Ngữ pháp",D140="Đọc",D140="Nghe",D140="Từ và kanji",D140="Giao tiếp"),OR(F140="Mới",F140="Ôn lại",F140="Hỗ trợ",F140="Luyện"),ISNUMBER(G140),ISNUMBER(H140),ISNUMBER(I140),ISNUMBER(J140),G140&gt;=0,H140&gt;=G140,I140&gt;=H140,I140&gt;0,J140&gt;=0,MOD(G140,1)=0,MOD(H140,1)=0,MOD(I140,1)=0,COUNTIFS($A$8:A140,A140,$D$8:D140,D140,$F$8:F140,F140)=1),"Hợp lệ","Kiểm tra/trùng"))</x:f>
      </x:c>
    </x:row>
    <x:row r="141" ht="27" customHeight="1">
      <x:c r="A141" s="83"/>
      <x:c r="B141" s="83"/>
      <x:c r="C141" s="83"/>
      <x:c r="D141" s="83"/>
      <x:c r="E141" s="83"/>
      <x:c r="F141" s="83"/>
      <x:c r="G141" s="83"/>
      <x:c r="H141" s="83"/>
      <x:c r="I141" s="83"/>
      <x:c r="J141" s="83"/>
      <x:c r="K141" s="83"/>
      <x:c r="L141" s="83"/>
      <x:c r="M141" s="75" t="str">
        <x:f>IF(COUNTA(A141:L141)=0,"",IF(AND(A141&lt;&gt;"",B141&lt;&gt;"",C141="N4",OR(D141="Ngữ pháp",D141="Đọc",D141="Nghe",D141="Từ và kanji",D141="Giao tiếp"),OR(F141="Mới",F141="Ôn lại",F141="Hỗ trợ",F141="Luyện"),ISNUMBER(G141),ISNUMBER(H141),ISNUMBER(I141),ISNUMBER(J141),G141&gt;=0,H141&gt;=G141,I141&gt;=H141,I141&gt;0,J141&gt;=0,MOD(G141,1)=0,MOD(H141,1)=0,MOD(I141,1)=0,COUNTIFS($A$8:A141,A141,$D$8:D141,D141,$F$8:F141,F141)=1),"Hợp lệ","Kiểm tra/trùng"))</x:f>
      </x:c>
    </x:row>
    <x:row r="142" ht="27" customHeight="1">
      <x:c r="A142" s="83"/>
      <x:c r="B142" s="83"/>
      <x:c r="C142" s="83"/>
      <x:c r="D142" s="83"/>
      <x:c r="E142" s="83"/>
      <x:c r="F142" s="83"/>
      <x:c r="G142" s="83"/>
      <x:c r="H142" s="83"/>
      <x:c r="I142" s="83"/>
      <x:c r="J142" s="83"/>
      <x:c r="K142" s="83"/>
      <x:c r="L142" s="83"/>
      <x:c r="M142" s="75" t="str">
        <x:f>IF(COUNTA(A142:L142)=0,"",IF(AND(A142&lt;&gt;"",B142&lt;&gt;"",C142="N4",OR(D142="Ngữ pháp",D142="Đọc",D142="Nghe",D142="Từ và kanji",D142="Giao tiếp"),OR(F142="Mới",F142="Ôn lại",F142="Hỗ trợ",F142="Luyện"),ISNUMBER(G142),ISNUMBER(H142),ISNUMBER(I142),ISNUMBER(J142),G142&gt;=0,H142&gt;=G142,I142&gt;=H142,I142&gt;0,J142&gt;=0,MOD(G142,1)=0,MOD(H142,1)=0,MOD(I142,1)=0,COUNTIFS($A$8:A142,A142,$D$8:D142,D142,$F$8:F142,F142)=1),"Hợp lệ","Kiểm tra/trùng"))</x:f>
      </x:c>
    </x:row>
    <x:row r="143" ht="27" customHeight="1">
      <x:c r="A143" s="83"/>
      <x:c r="B143" s="83"/>
      <x:c r="C143" s="83"/>
      <x:c r="D143" s="83"/>
      <x:c r="E143" s="83"/>
      <x:c r="F143" s="83"/>
      <x:c r="G143" s="83"/>
      <x:c r="H143" s="83"/>
      <x:c r="I143" s="83"/>
      <x:c r="J143" s="83"/>
      <x:c r="K143" s="83"/>
      <x:c r="L143" s="83"/>
      <x:c r="M143" s="75" t="str">
        <x:f>IF(COUNTA(A143:L143)=0,"",IF(AND(A143&lt;&gt;"",B143&lt;&gt;"",C143="N4",OR(D143="Ngữ pháp",D143="Đọc",D143="Nghe",D143="Từ và kanji",D143="Giao tiếp"),OR(F143="Mới",F143="Ôn lại",F143="Hỗ trợ",F143="Luyện"),ISNUMBER(G143),ISNUMBER(H143),ISNUMBER(I143),ISNUMBER(J143),G143&gt;=0,H143&gt;=G143,I143&gt;=H143,I143&gt;0,J143&gt;=0,MOD(G143,1)=0,MOD(H143,1)=0,MOD(I143,1)=0,COUNTIFS($A$8:A143,A143,$D$8:D143,D143,$F$8:F143,F143)=1),"Hợp lệ","Kiểm tra/trùng"))</x:f>
      </x:c>
    </x:row>
    <x:row r="144" ht="27" customHeight="1">
      <x:c r="A144" s="83"/>
      <x:c r="B144" s="83"/>
      <x:c r="C144" s="83"/>
      <x:c r="D144" s="83"/>
      <x:c r="E144" s="83"/>
      <x:c r="F144" s="83"/>
      <x:c r="G144" s="83"/>
      <x:c r="H144" s="83"/>
      <x:c r="I144" s="83"/>
      <x:c r="J144" s="83"/>
      <x:c r="K144" s="83"/>
      <x:c r="L144" s="83"/>
      <x:c r="M144" s="75" t="str">
        <x:f>IF(COUNTA(A144:L144)=0,"",IF(AND(A144&lt;&gt;"",B144&lt;&gt;"",C144="N4",OR(D144="Ngữ pháp",D144="Đọc",D144="Nghe",D144="Từ và kanji",D144="Giao tiếp"),OR(F144="Mới",F144="Ôn lại",F144="Hỗ trợ",F144="Luyện"),ISNUMBER(G144),ISNUMBER(H144),ISNUMBER(I144),ISNUMBER(J144),G144&gt;=0,H144&gt;=G144,I144&gt;=H144,I144&gt;0,J144&gt;=0,MOD(G144,1)=0,MOD(H144,1)=0,MOD(I144,1)=0,COUNTIFS($A$8:A144,A144,$D$8:D144,D144,$F$8:F144,F144)=1),"Hợp lệ","Kiểm tra/trùng"))</x:f>
      </x:c>
    </x:row>
    <x:row r="145" ht="27" customHeight="1">
      <x:c r="A145" s="83"/>
      <x:c r="B145" s="83"/>
      <x:c r="C145" s="83"/>
      <x:c r="D145" s="83"/>
      <x:c r="E145" s="83"/>
      <x:c r="F145" s="83"/>
      <x:c r="G145" s="83"/>
      <x:c r="H145" s="83"/>
      <x:c r="I145" s="83"/>
      <x:c r="J145" s="83"/>
      <x:c r="K145" s="83"/>
      <x:c r="L145" s="83"/>
      <x:c r="M145" s="75" t="str">
        <x:f>IF(COUNTA(A145:L145)=0,"",IF(AND(A145&lt;&gt;"",B145&lt;&gt;"",C145="N4",OR(D145="Ngữ pháp",D145="Đọc",D145="Nghe",D145="Từ và kanji",D145="Giao tiếp"),OR(F145="Mới",F145="Ôn lại",F145="Hỗ trợ",F145="Luyện"),ISNUMBER(G145),ISNUMBER(H145),ISNUMBER(I145),ISNUMBER(J145),G145&gt;=0,H145&gt;=G145,I145&gt;=H145,I145&gt;0,J145&gt;=0,MOD(G145,1)=0,MOD(H145,1)=0,MOD(I145,1)=0,COUNTIFS($A$8:A145,A145,$D$8:D145,D145,$F$8:F145,F145)=1),"Hợp lệ","Kiểm tra/trùng"))</x:f>
      </x:c>
    </x:row>
    <x:row r="146" ht="27" customHeight="1">
      <x:c r="A146" s="83"/>
      <x:c r="B146" s="83"/>
      <x:c r="C146" s="83"/>
      <x:c r="D146" s="83"/>
      <x:c r="E146" s="83"/>
      <x:c r="F146" s="83"/>
      <x:c r="G146" s="83"/>
      <x:c r="H146" s="83"/>
      <x:c r="I146" s="83"/>
      <x:c r="J146" s="83"/>
      <x:c r="K146" s="83"/>
      <x:c r="L146" s="83"/>
      <x:c r="M146" s="75" t="str">
        <x:f>IF(COUNTA(A146:L146)=0,"",IF(AND(A146&lt;&gt;"",B146&lt;&gt;"",C146="N4",OR(D146="Ngữ pháp",D146="Đọc",D146="Nghe",D146="Từ và kanji",D146="Giao tiếp"),OR(F146="Mới",F146="Ôn lại",F146="Hỗ trợ",F146="Luyện"),ISNUMBER(G146),ISNUMBER(H146),ISNUMBER(I146),ISNUMBER(J146),G146&gt;=0,H146&gt;=G146,I146&gt;=H146,I146&gt;0,J146&gt;=0,MOD(G146,1)=0,MOD(H146,1)=0,MOD(I146,1)=0,COUNTIFS($A$8:A146,A146,$D$8:D146,D146,$F$8:F146,F146)=1),"Hợp lệ","Kiểm tra/trùng"))</x:f>
      </x:c>
    </x:row>
    <x:row r="147" ht="27" customHeight="1">
      <x:c r="A147" s="83"/>
      <x:c r="B147" s="83"/>
      <x:c r="C147" s="83"/>
      <x:c r="D147" s="83"/>
      <x:c r="E147" s="83"/>
      <x:c r="F147" s="83"/>
      <x:c r="G147" s="83"/>
      <x:c r="H147" s="83"/>
      <x:c r="I147" s="83"/>
      <x:c r="J147" s="83"/>
      <x:c r="K147" s="83"/>
      <x:c r="L147" s="83"/>
      <x:c r="M147" s="75" t="str">
        <x:f>IF(COUNTA(A147:L147)=0,"",IF(AND(A147&lt;&gt;"",B147&lt;&gt;"",C147="N4",OR(D147="Ngữ pháp",D147="Đọc",D147="Nghe",D147="Từ và kanji",D147="Giao tiếp"),OR(F147="Mới",F147="Ôn lại",F147="Hỗ trợ",F147="Luyện"),ISNUMBER(G147),ISNUMBER(H147),ISNUMBER(I147),ISNUMBER(J147),G147&gt;=0,H147&gt;=G147,I147&gt;=H147,I147&gt;0,J147&gt;=0,MOD(G147,1)=0,MOD(H147,1)=0,MOD(I147,1)=0,COUNTIFS($A$8:A147,A147,$D$8:D147,D147,$F$8:F147,F147)=1),"Hợp lệ","Kiểm tra/trùng"))</x:f>
      </x:c>
    </x:row>
    <x:row r="148" ht="27" customHeight="1">
      <x:c r="A148" s="83"/>
      <x:c r="B148" s="83"/>
      <x:c r="C148" s="83"/>
      <x:c r="D148" s="83"/>
      <x:c r="E148" s="83"/>
      <x:c r="F148" s="83"/>
      <x:c r="G148" s="83"/>
      <x:c r="H148" s="83"/>
      <x:c r="I148" s="83"/>
      <x:c r="J148" s="83"/>
      <x:c r="K148" s="83"/>
      <x:c r="L148" s="83"/>
      <x:c r="M148" s="75" t="str">
        <x:f>IF(COUNTA(A148:L148)=0,"",IF(AND(A148&lt;&gt;"",B148&lt;&gt;"",C148="N4",OR(D148="Ngữ pháp",D148="Đọc",D148="Nghe",D148="Từ và kanji",D148="Giao tiếp"),OR(F148="Mới",F148="Ôn lại",F148="Hỗ trợ",F148="Luyện"),ISNUMBER(G148),ISNUMBER(H148),ISNUMBER(I148),ISNUMBER(J148),G148&gt;=0,H148&gt;=G148,I148&gt;=H148,I148&gt;0,J148&gt;=0,MOD(G148,1)=0,MOD(H148,1)=0,MOD(I148,1)=0,COUNTIFS($A$8:A148,A148,$D$8:D148,D148,$F$8:F148,F148)=1),"Hợp lệ","Kiểm tra/trùng"))</x:f>
      </x:c>
    </x:row>
    <x:row r="149" ht="27" customHeight="1">
      <x:c r="A149" s="83"/>
      <x:c r="B149" s="83"/>
      <x:c r="C149" s="83"/>
      <x:c r="D149" s="83"/>
      <x:c r="E149" s="83"/>
      <x:c r="F149" s="83"/>
      <x:c r="G149" s="83"/>
      <x:c r="H149" s="83"/>
      <x:c r="I149" s="83"/>
      <x:c r="J149" s="83"/>
      <x:c r="K149" s="83"/>
      <x:c r="L149" s="83"/>
      <x:c r="M149" s="75" t="str">
        <x:f>IF(COUNTA(A149:L149)=0,"",IF(AND(A149&lt;&gt;"",B149&lt;&gt;"",C149="N4",OR(D149="Ngữ pháp",D149="Đọc",D149="Nghe",D149="Từ và kanji",D149="Giao tiếp"),OR(F149="Mới",F149="Ôn lại",F149="Hỗ trợ",F149="Luyện"),ISNUMBER(G149),ISNUMBER(H149),ISNUMBER(I149),ISNUMBER(J149),G149&gt;=0,H149&gt;=G149,I149&gt;=H149,I149&gt;0,J149&gt;=0,MOD(G149,1)=0,MOD(H149,1)=0,MOD(I149,1)=0,COUNTIFS($A$8:A149,A149,$D$8:D149,D149,$F$8:F149,F149)=1),"Hợp lệ","Kiểm tra/trùng"))</x:f>
      </x:c>
    </x:row>
    <x:row r="150" ht="27" customHeight="1">
      <x:c r="A150" s="83"/>
      <x:c r="B150" s="83"/>
      <x:c r="C150" s="83"/>
      <x:c r="D150" s="83"/>
      <x:c r="E150" s="83"/>
      <x:c r="F150" s="83"/>
      <x:c r="G150" s="83"/>
      <x:c r="H150" s="83"/>
      <x:c r="I150" s="83"/>
      <x:c r="J150" s="83"/>
      <x:c r="K150" s="83"/>
      <x:c r="L150" s="83"/>
      <x:c r="M150" s="75" t="str">
        <x:f>IF(COUNTA(A150:L150)=0,"",IF(AND(A150&lt;&gt;"",B150&lt;&gt;"",C150="N4",OR(D150="Ngữ pháp",D150="Đọc",D150="Nghe",D150="Từ và kanji",D150="Giao tiếp"),OR(F150="Mới",F150="Ôn lại",F150="Hỗ trợ",F150="Luyện"),ISNUMBER(G150),ISNUMBER(H150),ISNUMBER(I150),ISNUMBER(J150),G150&gt;=0,H150&gt;=G150,I150&gt;=H150,I150&gt;0,J150&gt;=0,MOD(G150,1)=0,MOD(H150,1)=0,MOD(I150,1)=0,COUNTIFS($A$8:A150,A150,$D$8:D150,D150,$F$8:F150,F150)=1),"Hợp lệ","Kiểm tra/trùng"))</x:f>
      </x:c>
    </x:row>
    <x:row r="151" ht="27" customHeight="1">
      <x:c r="A151" s="83"/>
      <x:c r="B151" s="83"/>
      <x:c r="C151" s="83"/>
      <x:c r="D151" s="83"/>
      <x:c r="E151" s="83"/>
      <x:c r="F151" s="83"/>
      <x:c r="G151" s="83"/>
      <x:c r="H151" s="83"/>
      <x:c r="I151" s="83"/>
      <x:c r="J151" s="83"/>
      <x:c r="K151" s="83"/>
      <x:c r="L151" s="83"/>
      <x:c r="M151" s="75" t="str">
        <x:f>IF(COUNTA(A151:L151)=0,"",IF(AND(A151&lt;&gt;"",B151&lt;&gt;"",C151="N4",OR(D151="Ngữ pháp",D151="Đọc",D151="Nghe",D151="Từ và kanji",D151="Giao tiếp"),OR(F151="Mới",F151="Ôn lại",F151="Hỗ trợ",F151="Luyện"),ISNUMBER(G151),ISNUMBER(H151),ISNUMBER(I151),ISNUMBER(J151),G151&gt;=0,H151&gt;=G151,I151&gt;=H151,I151&gt;0,J151&gt;=0,MOD(G151,1)=0,MOD(H151,1)=0,MOD(I151,1)=0,COUNTIFS($A$8:A151,A151,$D$8:D151,D151,$F$8:F151,F151)=1),"Hợp lệ","Kiểm tra/trùng"))</x:f>
      </x:c>
    </x:row>
    <x:row r="152" ht="27" customHeight="1">
      <x:c r="A152" s="83"/>
      <x:c r="B152" s="83"/>
      <x:c r="C152" s="83"/>
      <x:c r="D152" s="83"/>
      <x:c r="E152" s="83"/>
      <x:c r="F152" s="83"/>
      <x:c r="G152" s="83"/>
      <x:c r="H152" s="83"/>
      <x:c r="I152" s="83"/>
      <x:c r="J152" s="83"/>
      <x:c r="K152" s="83"/>
      <x:c r="L152" s="83"/>
      <x:c r="M152" s="75" t="str">
        <x:f>IF(COUNTA(A152:L152)=0,"",IF(AND(A152&lt;&gt;"",B152&lt;&gt;"",C152="N4",OR(D152="Ngữ pháp",D152="Đọc",D152="Nghe",D152="Từ và kanji",D152="Giao tiếp"),OR(F152="Mới",F152="Ôn lại",F152="Hỗ trợ",F152="Luyện"),ISNUMBER(G152),ISNUMBER(H152),ISNUMBER(I152),ISNUMBER(J152),G152&gt;=0,H152&gt;=G152,I152&gt;=H152,I152&gt;0,J152&gt;=0,MOD(G152,1)=0,MOD(H152,1)=0,MOD(I152,1)=0,COUNTIFS($A$8:A152,A152,$D$8:D152,D152,$F$8:F152,F152)=1),"Hợp lệ","Kiểm tra/trùng"))</x:f>
      </x:c>
    </x:row>
    <x:row r="153" ht="27" customHeight="1">
      <x:c r="A153" s="83"/>
      <x:c r="B153" s="83"/>
      <x:c r="C153" s="83"/>
      <x:c r="D153" s="83"/>
      <x:c r="E153" s="83"/>
      <x:c r="F153" s="83"/>
      <x:c r="G153" s="83"/>
      <x:c r="H153" s="83"/>
      <x:c r="I153" s="83"/>
      <x:c r="J153" s="83"/>
      <x:c r="K153" s="83"/>
      <x:c r="L153" s="83"/>
      <x:c r="M153" s="75" t="str">
        <x:f>IF(COUNTA(A153:L153)=0,"",IF(AND(A153&lt;&gt;"",B153&lt;&gt;"",C153="N4",OR(D153="Ngữ pháp",D153="Đọc",D153="Nghe",D153="Từ và kanji",D153="Giao tiếp"),OR(F153="Mới",F153="Ôn lại",F153="Hỗ trợ",F153="Luyện"),ISNUMBER(G153),ISNUMBER(H153),ISNUMBER(I153),ISNUMBER(J153),G153&gt;=0,H153&gt;=G153,I153&gt;=H153,I153&gt;0,J153&gt;=0,MOD(G153,1)=0,MOD(H153,1)=0,MOD(I153,1)=0,COUNTIFS($A$8:A153,A153,$D$8:D153,D153,$F$8:F153,F153)=1),"Hợp lệ","Kiểm tra/trùng"))</x:f>
      </x:c>
    </x:row>
    <x:row r="154" ht="27" customHeight="1">
      <x:c r="A154" s="83"/>
      <x:c r="B154" s="83"/>
      <x:c r="C154" s="83"/>
      <x:c r="D154" s="83"/>
      <x:c r="E154" s="83"/>
      <x:c r="F154" s="83"/>
      <x:c r="G154" s="83"/>
      <x:c r="H154" s="83"/>
      <x:c r="I154" s="83"/>
      <x:c r="J154" s="83"/>
      <x:c r="K154" s="83"/>
      <x:c r="L154" s="83"/>
      <x:c r="M154" s="75" t="str">
        <x:f>IF(COUNTA(A154:L154)=0,"",IF(AND(A154&lt;&gt;"",B154&lt;&gt;"",C154="N4",OR(D154="Ngữ pháp",D154="Đọc",D154="Nghe",D154="Từ và kanji",D154="Giao tiếp"),OR(F154="Mới",F154="Ôn lại",F154="Hỗ trợ",F154="Luyện"),ISNUMBER(G154),ISNUMBER(H154),ISNUMBER(I154),ISNUMBER(J154),G154&gt;=0,H154&gt;=G154,I154&gt;=H154,I154&gt;0,J154&gt;=0,MOD(G154,1)=0,MOD(H154,1)=0,MOD(I154,1)=0,COUNTIFS($A$8:A154,A154,$D$8:D154,D154,$F$8:F154,F154)=1),"Hợp lệ","Kiểm tra/trùng"))</x:f>
      </x:c>
    </x:row>
    <x:row r="155" ht="27" customHeight="1">
      <x:c r="A155" s="83"/>
      <x:c r="B155" s="83"/>
      <x:c r="C155" s="83"/>
      <x:c r="D155" s="83"/>
      <x:c r="E155" s="83"/>
      <x:c r="F155" s="83"/>
      <x:c r="G155" s="83"/>
      <x:c r="H155" s="83"/>
      <x:c r="I155" s="83"/>
      <x:c r="J155" s="83"/>
      <x:c r="K155" s="83"/>
      <x:c r="L155" s="83"/>
      <x:c r="M155" s="75" t="str">
        <x:f>IF(COUNTA(A155:L155)=0,"",IF(AND(A155&lt;&gt;"",B155&lt;&gt;"",C155="N4",OR(D155="Ngữ pháp",D155="Đọc",D155="Nghe",D155="Từ và kanji",D155="Giao tiếp"),OR(F155="Mới",F155="Ôn lại",F155="Hỗ trợ",F155="Luyện"),ISNUMBER(G155),ISNUMBER(H155),ISNUMBER(I155),ISNUMBER(J155),G155&gt;=0,H155&gt;=G155,I155&gt;=H155,I155&gt;0,J155&gt;=0,MOD(G155,1)=0,MOD(H155,1)=0,MOD(I155,1)=0,COUNTIFS($A$8:A155,A155,$D$8:D155,D155,$F$8:F155,F155)=1),"Hợp lệ","Kiểm tra/trùng"))</x:f>
      </x:c>
    </x:row>
    <x:row r="156" ht="27" customHeight="1">
      <x:c r="A156" s="83"/>
      <x:c r="B156" s="83"/>
      <x:c r="C156" s="83"/>
      <x:c r="D156" s="83"/>
      <x:c r="E156" s="83"/>
      <x:c r="F156" s="83"/>
      <x:c r="G156" s="83"/>
      <x:c r="H156" s="83"/>
      <x:c r="I156" s="83"/>
      <x:c r="J156" s="83"/>
      <x:c r="K156" s="83"/>
      <x:c r="L156" s="83"/>
      <x:c r="M156" s="75" t="str">
        <x:f>IF(COUNTA(A156:L156)=0,"",IF(AND(A156&lt;&gt;"",B156&lt;&gt;"",C156="N4",OR(D156="Ngữ pháp",D156="Đọc",D156="Nghe",D156="Từ và kanji",D156="Giao tiếp"),OR(F156="Mới",F156="Ôn lại",F156="Hỗ trợ",F156="Luyện"),ISNUMBER(G156),ISNUMBER(H156),ISNUMBER(I156),ISNUMBER(J156),G156&gt;=0,H156&gt;=G156,I156&gt;=H156,I156&gt;0,J156&gt;=0,MOD(G156,1)=0,MOD(H156,1)=0,MOD(I156,1)=0,COUNTIFS($A$8:A156,A156,$D$8:D156,D156,$F$8:F156,F156)=1),"Hợp lệ","Kiểm tra/trùng"))</x:f>
      </x:c>
    </x:row>
    <x:row r="157" ht="27" customHeight="1">
      <x:c r="A157" s="83"/>
      <x:c r="B157" s="83"/>
      <x:c r="C157" s="83"/>
      <x:c r="D157" s="83"/>
      <x:c r="E157" s="83"/>
      <x:c r="F157" s="83"/>
      <x:c r="G157" s="83"/>
      <x:c r="H157" s="83"/>
      <x:c r="I157" s="83"/>
      <x:c r="J157" s="83"/>
      <x:c r="K157" s="83"/>
      <x:c r="L157" s="83"/>
      <x:c r="M157" s="75" t="str">
        <x:f>IF(COUNTA(A157:L157)=0,"",IF(AND(A157&lt;&gt;"",B157&lt;&gt;"",C157="N4",OR(D157="Ngữ pháp",D157="Đọc",D157="Nghe",D157="Từ và kanji",D157="Giao tiếp"),OR(F157="Mới",F157="Ôn lại",F157="Hỗ trợ",F157="Luyện"),ISNUMBER(G157),ISNUMBER(H157),ISNUMBER(I157),ISNUMBER(J157),G157&gt;=0,H157&gt;=G157,I157&gt;=H157,I157&gt;0,J157&gt;=0,MOD(G157,1)=0,MOD(H157,1)=0,MOD(I157,1)=0,COUNTIFS($A$8:A157,A157,$D$8:D157,D157,$F$8:F157,F157)=1),"Hợp lệ","Kiểm tra/trùng"))</x:f>
      </x:c>
    </x:row>
    <x:row r="158" ht="27" customHeight="1">
      <x:c r="A158" s="83"/>
      <x:c r="B158" s="83"/>
      <x:c r="C158" s="83"/>
      <x:c r="D158" s="83"/>
      <x:c r="E158" s="83"/>
      <x:c r="F158" s="83"/>
      <x:c r="G158" s="83"/>
      <x:c r="H158" s="83"/>
      <x:c r="I158" s="83"/>
      <x:c r="J158" s="83"/>
      <x:c r="K158" s="83"/>
      <x:c r="L158" s="83"/>
      <x:c r="M158" s="75" t="str">
        <x:f>IF(COUNTA(A158:L158)=0,"",IF(AND(A158&lt;&gt;"",B158&lt;&gt;"",C158="N4",OR(D158="Ngữ pháp",D158="Đọc",D158="Nghe",D158="Từ và kanji",D158="Giao tiếp"),OR(F158="Mới",F158="Ôn lại",F158="Hỗ trợ",F158="Luyện"),ISNUMBER(G158),ISNUMBER(H158),ISNUMBER(I158),ISNUMBER(J158),G158&gt;=0,H158&gt;=G158,I158&gt;=H158,I158&gt;0,J158&gt;=0,MOD(G158,1)=0,MOD(H158,1)=0,MOD(I158,1)=0,COUNTIFS($A$8:A158,A158,$D$8:D158,D158,$F$8:F158,F158)=1),"Hợp lệ","Kiểm tra/trùng"))</x:f>
      </x:c>
    </x:row>
    <x:row r="159" ht="27" customHeight="1">
      <x:c r="A159" s="83"/>
      <x:c r="B159" s="83"/>
      <x:c r="C159" s="83"/>
      <x:c r="D159" s="83"/>
      <x:c r="E159" s="83"/>
      <x:c r="F159" s="83"/>
      <x:c r="G159" s="83"/>
      <x:c r="H159" s="83"/>
      <x:c r="I159" s="83"/>
      <x:c r="J159" s="83"/>
      <x:c r="K159" s="83"/>
      <x:c r="L159" s="83"/>
      <x:c r="M159" s="75" t="str">
        <x:f>IF(COUNTA(A159:L159)=0,"",IF(AND(A159&lt;&gt;"",B159&lt;&gt;"",C159="N4",OR(D159="Ngữ pháp",D159="Đọc",D159="Nghe",D159="Từ và kanji",D159="Giao tiếp"),OR(F159="Mới",F159="Ôn lại",F159="Hỗ trợ",F159="Luyện"),ISNUMBER(G159),ISNUMBER(H159),ISNUMBER(I159),ISNUMBER(J159),G159&gt;=0,H159&gt;=G159,I159&gt;=H159,I159&gt;0,J159&gt;=0,MOD(G159,1)=0,MOD(H159,1)=0,MOD(I159,1)=0,COUNTIFS($A$8:A159,A159,$D$8:D159,D159,$F$8:F159,F159)=1),"Hợp lệ","Kiểm tra/trùng"))</x:f>
      </x:c>
    </x:row>
    <x:row r="160" ht="27" customHeight="1">
      <x:c r="A160" s="83"/>
      <x:c r="B160" s="83"/>
      <x:c r="C160" s="83"/>
      <x:c r="D160" s="83"/>
      <x:c r="E160" s="83"/>
      <x:c r="F160" s="83"/>
      <x:c r="G160" s="83"/>
      <x:c r="H160" s="83"/>
      <x:c r="I160" s="83"/>
      <x:c r="J160" s="83"/>
      <x:c r="K160" s="83"/>
      <x:c r="L160" s="83"/>
      <x:c r="M160" s="75" t="str">
        <x:f>IF(COUNTA(A160:L160)=0,"",IF(AND(A160&lt;&gt;"",B160&lt;&gt;"",C160="N4",OR(D160="Ngữ pháp",D160="Đọc",D160="Nghe",D160="Từ và kanji",D160="Giao tiếp"),OR(F160="Mới",F160="Ôn lại",F160="Hỗ trợ",F160="Luyện"),ISNUMBER(G160),ISNUMBER(H160),ISNUMBER(I160),ISNUMBER(J160),G160&gt;=0,H160&gt;=G160,I160&gt;=H160,I160&gt;0,J160&gt;=0,MOD(G160,1)=0,MOD(H160,1)=0,MOD(I160,1)=0,COUNTIFS($A$8:A160,A160,$D$8:D160,D160,$F$8:F160,F160)=1),"Hợp lệ","Kiểm tra/trùng"))</x:f>
      </x:c>
    </x:row>
    <x:row r="161" ht="27" customHeight="1">
      <x:c r="A161" s="83"/>
      <x:c r="B161" s="83"/>
      <x:c r="C161" s="83"/>
      <x:c r="D161" s="83"/>
      <x:c r="E161" s="83"/>
      <x:c r="F161" s="83"/>
      <x:c r="G161" s="83"/>
      <x:c r="H161" s="83"/>
      <x:c r="I161" s="83"/>
      <x:c r="J161" s="83"/>
      <x:c r="K161" s="83"/>
      <x:c r="L161" s="83"/>
      <x:c r="M161" s="75" t="str">
        <x:f>IF(COUNTA(A161:L161)=0,"",IF(AND(A161&lt;&gt;"",B161&lt;&gt;"",C161="N4",OR(D161="Ngữ pháp",D161="Đọc",D161="Nghe",D161="Từ và kanji",D161="Giao tiếp"),OR(F161="Mới",F161="Ôn lại",F161="Hỗ trợ",F161="Luyện"),ISNUMBER(G161),ISNUMBER(H161),ISNUMBER(I161),ISNUMBER(J161),G161&gt;=0,H161&gt;=G161,I161&gt;=H161,I161&gt;0,J161&gt;=0,MOD(G161,1)=0,MOD(H161,1)=0,MOD(I161,1)=0,COUNTIFS($A$8:A161,A161,$D$8:D161,D161,$F$8:F161,F161)=1),"Hợp lệ","Kiểm tra/trùng"))</x:f>
      </x:c>
    </x:row>
    <x:row r="162" ht="27" customHeight="1">
      <x:c r="A162" s="83"/>
      <x:c r="B162" s="83"/>
      <x:c r="C162" s="83"/>
      <x:c r="D162" s="83"/>
      <x:c r="E162" s="83"/>
      <x:c r="F162" s="83"/>
      <x:c r="G162" s="83"/>
      <x:c r="H162" s="83"/>
      <x:c r="I162" s="83"/>
      <x:c r="J162" s="83"/>
      <x:c r="K162" s="83"/>
      <x:c r="L162" s="83"/>
      <x:c r="M162" s="75" t="str">
        <x:f>IF(COUNTA(A162:L162)=0,"",IF(AND(A162&lt;&gt;"",B162&lt;&gt;"",C162="N4",OR(D162="Ngữ pháp",D162="Đọc",D162="Nghe",D162="Từ và kanji",D162="Giao tiếp"),OR(F162="Mới",F162="Ôn lại",F162="Hỗ trợ",F162="Luyện"),ISNUMBER(G162),ISNUMBER(H162),ISNUMBER(I162),ISNUMBER(J162),G162&gt;=0,H162&gt;=G162,I162&gt;=H162,I162&gt;0,J162&gt;=0,MOD(G162,1)=0,MOD(H162,1)=0,MOD(I162,1)=0,COUNTIFS($A$8:A162,A162,$D$8:D162,D162,$F$8:F162,F162)=1),"Hợp lệ","Kiểm tra/trùng"))</x:f>
      </x:c>
    </x:row>
    <x:row r="163" ht="27" customHeight="1">
      <x:c r="A163" s="83"/>
      <x:c r="B163" s="83"/>
      <x:c r="C163" s="83"/>
      <x:c r="D163" s="83"/>
      <x:c r="E163" s="83"/>
      <x:c r="F163" s="83"/>
      <x:c r="G163" s="83"/>
      <x:c r="H163" s="83"/>
      <x:c r="I163" s="83"/>
      <x:c r="J163" s="83"/>
      <x:c r="K163" s="83"/>
      <x:c r="L163" s="83"/>
      <x:c r="M163" s="75" t="str">
        <x:f>IF(COUNTA(A163:L163)=0,"",IF(AND(A163&lt;&gt;"",B163&lt;&gt;"",C163="N4",OR(D163="Ngữ pháp",D163="Đọc",D163="Nghe",D163="Từ và kanji",D163="Giao tiếp"),OR(F163="Mới",F163="Ôn lại",F163="Hỗ trợ",F163="Luyện"),ISNUMBER(G163),ISNUMBER(H163),ISNUMBER(I163),ISNUMBER(J163),G163&gt;=0,H163&gt;=G163,I163&gt;=H163,I163&gt;0,J163&gt;=0,MOD(G163,1)=0,MOD(H163,1)=0,MOD(I163,1)=0,COUNTIFS($A$8:A163,A163,$D$8:D163,D163,$F$8:F163,F163)=1),"Hợp lệ","Kiểm tra/trùng"))</x:f>
      </x:c>
    </x:row>
    <x:row r="164" ht="27" customHeight="1">
      <x:c r="A164" s="83"/>
      <x:c r="B164" s="83"/>
      <x:c r="C164" s="83"/>
      <x:c r="D164" s="83"/>
      <x:c r="E164" s="83"/>
      <x:c r="F164" s="83"/>
      <x:c r="G164" s="83"/>
      <x:c r="H164" s="83"/>
      <x:c r="I164" s="83"/>
      <x:c r="J164" s="83"/>
      <x:c r="K164" s="83"/>
      <x:c r="L164" s="83"/>
      <x:c r="M164" s="75" t="str">
        <x:f>IF(COUNTA(A164:L164)=0,"",IF(AND(A164&lt;&gt;"",B164&lt;&gt;"",C164="N4",OR(D164="Ngữ pháp",D164="Đọc",D164="Nghe",D164="Từ và kanji",D164="Giao tiếp"),OR(F164="Mới",F164="Ôn lại",F164="Hỗ trợ",F164="Luyện"),ISNUMBER(G164),ISNUMBER(H164),ISNUMBER(I164),ISNUMBER(J164),G164&gt;=0,H164&gt;=G164,I164&gt;=H164,I164&gt;0,J164&gt;=0,MOD(G164,1)=0,MOD(H164,1)=0,MOD(I164,1)=0,COUNTIFS($A$8:A164,A164,$D$8:D164,D164,$F$8:F164,F164)=1),"Hợp lệ","Kiểm tra/trùng"))</x:f>
      </x:c>
    </x:row>
    <x:row r="165" ht="27" customHeight="1">
      <x:c r="A165" s="83"/>
      <x:c r="B165" s="83"/>
      <x:c r="C165" s="83"/>
      <x:c r="D165" s="83"/>
      <x:c r="E165" s="83"/>
      <x:c r="F165" s="83"/>
      <x:c r="G165" s="83"/>
      <x:c r="H165" s="83"/>
      <x:c r="I165" s="83"/>
      <x:c r="J165" s="83"/>
      <x:c r="K165" s="83"/>
      <x:c r="L165" s="83"/>
      <x:c r="M165" s="75" t="str">
        <x:f>IF(COUNTA(A165:L165)=0,"",IF(AND(A165&lt;&gt;"",B165&lt;&gt;"",C165="N4",OR(D165="Ngữ pháp",D165="Đọc",D165="Nghe",D165="Từ và kanji",D165="Giao tiếp"),OR(F165="Mới",F165="Ôn lại",F165="Hỗ trợ",F165="Luyện"),ISNUMBER(G165),ISNUMBER(H165),ISNUMBER(I165),ISNUMBER(J165),G165&gt;=0,H165&gt;=G165,I165&gt;=H165,I165&gt;0,J165&gt;=0,MOD(G165,1)=0,MOD(H165,1)=0,MOD(I165,1)=0,COUNTIFS($A$8:A165,A165,$D$8:D165,D165,$F$8:F165,F165)=1),"Hợp lệ","Kiểm tra/trùng"))</x:f>
      </x:c>
    </x:row>
    <x:row r="166" ht="27" customHeight="1">
      <x:c r="A166" s="83"/>
      <x:c r="B166" s="83"/>
      <x:c r="C166" s="83"/>
      <x:c r="D166" s="83"/>
      <x:c r="E166" s="83"/>
      <x:c r="F166" s="83"/>
      <x:c r="G166" s="83"/>
      <x:c r="H166" s="83"/>
      <x:c r="I166" s="83"/>
      <x:c r="J166" s="83"/>
      <x:c r="K166" s="83"/>
      <x:c r="L166" s="83"/>
      <x:c r="M166" s="75" t="str">
        <x:f>IF(COUNTA(A166:L166)=0,"",IF(AND(A166&lt;&gt;"",B166&lt;&gt;"",C166="N4",OR(D166="Ngữ pháp",D166="Đọc",D166="Nghe",D166="Từ và kanji",D166="Giao tiếp"),OR(F166="Mới",F166="Ôn lại",F166="Hỗ trợ",F166="Luyện"),ISNUMBER(G166),ISNUMBER(H166),ISNUMBER(I166),ISNUMBER(J166),G166&gt;=0,H166&gt;=G166,I166&gt;=H166,I166&gt;0,J166&gt;=0,MOD(G166,1)=0,MOD(H166,1)=0,MOD(I166,1)=0,COUNTIFS($A$8:A166,A166,$D$8:D166,D166,$F$8:F166,F166)=1),"Hợp lệ","Kiểm tra/trùng"))</x:f>
      </x:c>
    </x:row>
    <x:row r="167" ht="27" customHeight="1">
      <x:c r="A167" s="83"/>
      <x:c r="B167" s="83"/>
      <x:c r="C167" s="83"/>
      <x:c r="D167" s="83"/>
      <x:c r="E167" s="83"/>
      <x:c r="F167" s="83"/>
      <x:c r="G167" s="83"/>
      <x:c r="H167" s="83"/>
      <x:c r="I167" s="83"/>
      <x:c r="J167" s="83"/>
      <x:c r="K167" s="83"/>
      <x:c r="L167" s="83"/>
      <x:c r="M167" s="75" t="str">
        <x:f>IF(COUNTA(A167:L167)=0,"",IF(AND(A167&lt;&gt;"",B167&lt;&gt;"",C167="N4",OR(D167="Ngữ pháp",D167="Đọc",D167="Nghe",D167="Từ và kanji",D167="Giao tiếp"),OR(F167="Mới",F167="Ôn lại",F167="Hỗ trợ",F167="Luyện"),ISNUMBER(G167),ISNUMBER(H167),ISNUMBER(I167),ISNUMBER(J167),G167&gt;=0,H167&gt;=G167,I167&gt;=H167,I167&gt;0,J167&gt;=0,MOD(G167,1)=0,MOD(H167,1)=0,MOD(I167,1)=0,COUNTIFS($A$8:A167,A167,$D$8:D167,D167,$F$8:F167,F167)=1),"Hợp lệ","Kiểm tra/trùng"))</x:f>
      </x:c>
    </x:row>
    <x:row r="168" ht="27" customHeight="1">
      <x:c r="A168" s="83"/>
      <x:c r="B168" s="83"/>
      <x:c r="C168" s="83"/>
      <x:c r="D168" s="83"/>
      <x:c r="E168" s="83"/>
      <x:c r="F168" s="83"/>
      <x:c r="G168" s="83"/>
      <x:c r="H168" s="83"/>
      <x:c r="I168" s="83"/>
      <x:c r="J168" s="83"/>
      <x:c r="K168" s="83"/>
      <x:c r="L168" s="83"/>
      <x:c r="M168" s="75" t="str">
        <x:f>IF(COUNTA(A168:L168)=0,"",IF(AND(A168&lt;&gt;"",B168&lt;&gt;"",C168="N4",OR(D168="Ngữ pháp",D168="Đọc",D168="Nghe",D168="Từ và kanji",D168="Giao tiếp"),OR(F168="Mới",F168="Ôn lại",F168="Hỗ trợ",F168="Luyện"),ISNUMBER(G168),ISNUMBER(H168),ISNUMBER(I168),ISNUMBER(J168),G168&gt;=0,H168&gt;=G168,I168&gt;=H168,I168&gt;0,J168&gt;=0,MOD(G168,1)=0,MOD(H168,1)=0,MOD(I168,1)=0,COUNTIFS($A$8:A168,A168,$D$8:D168,D168,$F$8:F168,F168)=1),"Hợp lệ","Kiểm tra/trùng"))</x:f>
      </x:c>
    </x:row>
    <x:row r="169" ht="27" customHeight="1">
      <x:c r="A169" s="83"/>
      <x:c r="B169" s="83"/>
      <x:c r="C169" s="83"/>
      <x:c r="D169" s="83"/>
      <x:c r="E169" s="83"/>
      <x:c r="F169" s="83"/>
      <x:c r="G169" s="83"/>
      <x:c r="H169" s="83"/>
      <x:c r="I169" s="83"/>
      <x:c r="J169" s="83"/>
      <x:c r="K169" s="83"/>
      <x:c r="L169" s="83"/>
      <x:c r="M169" s="75" t="str">
        <x:f>IF(COUNTA(A169:L169)=0,"",IF(AND(A169&lt;&gt;"",B169&lt;&gt;"",C169="N4",OR(D169="Ngữ pháp",D169="Đọc",D169="Nghe",D169="Từ và kanji",D169="Giao tiếp"),OR(F169="Mới",F169="Ôn lại",F169="Hỗ trợ",F169="Luyện"),ISNUMBER(G169),ISNUMBER(H169),ISNUMBER(I169),ISNUMBER(J169),G169&gt;=0,H169&gt;=G169,I169&gt;=H169,I169&gt;0,J169&gt;=0,MOD(G169,1)=0,MOD(H169,1)=0,MOD(I169,1)=0,COUNTIFS($A$8:A169,A169,$D$8:D169,D169,$F$8:F169,F169)=1),"Hợp lệ","Kiểm tra/trùng"))</x:f>
      </x:c>
    </x:row>
    <x:row r="170" ht="27" customHeight="1">
      <x:c r="A170" s="83"/>
      <x:c r="B170" s="83"/>
      <x:c r="C170" s="83"/>
      <x:c r="D170" s="83"/>
      <x:c r="E170" s="83"/>
      <x:c r="F170" s="83"/>
      <x:c r="G170" s="83"/>
      <x:c r="H170" s="83"/>
      <x:c r="I170" s="83"/>
      <x:c r="J170" s="83"/>
      <x:c r="K170" s="83"/>
      <x:c r="L170" s="83"/>
      <x:c r="M170" s="75" t="str">
        <x:f>IF(COUNTA(A170:L170)=0,"",IF(AND(A170&lt;&gt;"",B170&lt;&gt;"",C170="N4",OR(D170="Ngữ pháp",D170="Đọc",D170="Nghe",D170="Từ và kanji",D170="Giao tiếp"),OR(F170="Mới",F170="Ôn lại",F170="Hỗ trợ",F170="Luyện"),ISNUMBER(G170),ISNUMBER(H170),ISNUMBER(I170),ISNUMBER(J170),G170&gt;=0,H170&gt;=G170,I170&gt;=H170,I170&gt;0,J170&gt;=0,MOD(G170,1)=0,MOD(H170,1)=0,MOD(I170,1)=0,COUNTIFS($A$8:A170,A170,$D$8:D170,D170,$F$8:F170,F170)=1),"Hợp lệ","Kiểm tra/trùng"))</x:f>
      </x:c>
    </x:row>
    <x:row r="171" ht="27" customHeight="1">
      <x:c r="A171" s="83"/>
      <x:c r="B171" s="83"/>
      <x:c r="C171" s="83"/>
      <x:c r="D171" s="83"/>
      <x:c r="E171" s="83"/>
      <x:c r="F171" s="83"/>
      <x:c r="G171" s="83"/>
      <x:c r="H171" s="83"/>
      <x:c r="I171" s="83"/>
      <x:c r="J171" s="83"/>
      <x:c r="K171" s="83"/>
      <x:c r="L171" s="83"/>
      <x:c r="M171" s="75" t="str">
        <x:f>IF(COUNTA(A171:L171)=0,"",IF(AND(A171&lt;&gt;"",B171&lt;&gt;"",C171="N4",OR(D171="Ngữ pháp",D171="Đọc",D171="Nghe",D171="Từ và kanji",D171="Giao tiếp"),OR(F171="Mới",F171="Ôn lại",F171="Hỗ trợ",F171="Luyện"),ISNUMBER(G171),ISNUMBER(H171),ISNUMBER(I171),ISNUMBER(J171),G171&gt;=0,H171&gt;=G171,I171&gt;=H171,I171&gt;0,J171&gt;=0,MOD(G171,1)=0,MOD(H171,1)=0,MOD(I171,1)=0,COUNTIFS($A$8:A171,A171,$D$8:D171,D171,$F$8:F171,F171)=1),"Hợp lệ","Kiểm tra/trùng"))</x:f>
      </x:c>
    </x:row>
    <x:row r="172" ht="27" customHeight="1">
      <x:c r="A172" s="83"/>
      <x:c r="B172" s="83"/>
      <x:c r="C172" s="83"/>
      <x:c r="D172" s="83"/>
      <x:c r="E172" s="83"/>
      <x:c r="F172" s="83"/>
      <x:c r="G172" s="83"/>
      <x:c r="H172" s="83"/>
      <x:c r="I172" s="83"/>
      <x:c r="J172" s="83"/>
      <x:c r="K172" s="83"/>
      <x:c r="L172" s="83"/>
      <x:c r="M172" s="75" t="str">
        <x:f>IF(COUNTA(A172:L172)=0,"",IF(AND(A172&lt;&gt;"",B172&lt;&gt;"",C172="N4",OR(D172="Ngữ pháp",D172="Đọc",D172="Nghe",D172="Từ và kanji",D172="Giao tiếp"),OR(F172="Mới",F172="Ôn lại",F172="Hỗ trợ",F172="Luyện"),ISNUMBER(G172),ISNUMBER(H172),ISNUMBER(I172),ISNUMBER(J172),G172&gt;=0,H172&gt;=G172,I172&gt;=H172,I172&gt;0,J172&gt;=0,MOD(G172,1)=0,MOD(H172,1)=0,MOD(I172,1)=0,COUNTIFS($A$8:A172,A172,$D$8:D172,D172,$F$8:F172,F172)=1),"Hợp lệ","Kiểm tra/trùng"))</x:f>
      </x:c>
    </x:row>
    <x:row r="173" ht="27" customHeight="1">
      <x:c r="A173" s="83"/>
      <x:c r="B173" s="83"/>
      <x:c r="C173" s="83"/>
      <x:c r="D173" s="83"/>
      <x:c r="E173" s="83"/>
      <x:c r="F173" s="83"/>
      <x:c r="G173" s="83"/>
      <x:c r="H173" s="83"/>
      <x:c r="I173" s="83"/>
      <x:c r="J173" s="83"/>
      <x:c r="K173" s="83"/>
      <x:c r="L173" s="83"/>
      <x:c r="M173" s="75" t="str">
        <x:f>IF(COUNTA(A173:L173)=0,"",IF(AND(A173&lt;&gt;"",B173&lt;&gt;"",C173="N4",OR(D173="Ngữ pháp",D173="Đọc",D173="Nghe",D173="Từ và kanji",D173="Giao tiếp"),OR(F173="Mới",F173="Ôn lại",F173="Hỗ trợ",F173="Luyện"),ISNUMBER(G173),ISNUMBER(H173),ISNUMBER(I173),ISNUMBER(J173),G173&gt;=0,H173&gt;=G173,I173&gt;=H173,I173&gt;0,J173&gt;=0,MOD(G173,1)=0,MOD(H173,1)=0,MOD(I173,1)=0,COUNTIFS($A$8:A173,A173,$D$8:D173,D173,$F$8:F173,F173)=1),"Hợp lệ","Kiểm tra/trùng"))</x:f>
      </x:c>
    </x:row>
    <x:row r="174" ht="27" customHeight="1">
      <x:c r="A174" s="83"/>
      <x:c r="B174" s="83"/>
      <x:c r="C174" s="83"/>
      <x:c r="D174" s="83"/>
      <x:c r="E174" s="83"/>
      <x:c r="F174" s="83"/>
      <x:c r="G174" s="83"/>
      <x:c r="H174" s="83"/>
      <x:c r="I174" s="83"/>
      <x:c r="J174" s="83"/>
      <x:c r="K174" s="83"/>
      <x:c r="L174" s="83"/>
      <x:c r="M174" s="75" t="str">
        <x:f>IF(COUNTA(A174:L174)=0,"",IF(AND(A174&lt;&gt;"",B174&lt;&gt;"",C174="N4",OR(D174="Ngữ pháp",D174="Đọc",D174="Nghe",D174="Từ và kanji",D174="Giao tiếp"),OR(F174="Mới",F174="Ôn lại",F174="Hỗ trợ",F174="Luyện"),ISNUMBER(G174),ISNUMBER(H174),ISNUMBER(I174),ISNUMBER(J174),G174&gt;=0,H174&gt;=G174,I174&gt;=H174,I174&gt;0,J174&gt;=0,MOD(G174,1)=0,MOD(H174,1)=0,MOD(I174,1)=0,COUNTIFS($A$8:A174,A174,$D$8:D174,D174,$F$8:F174,F174)=1),"Hợp lệ","Kiểm tra/trùng"))</x:f>
      </x:c>
    </x:row>
    <x:row r="175" ht="27" customHeight="1">
      <x:c r="A175" s="83"/>
      <x:c r="B175" s="83"/>
      <x:c r="C175" s="83"/>
      <x:c r="D175" s="83"/>
      <x:c r="E175" s="83"/>
      <x:c r="F175" s="83"/>
      <x:c r="G175" s="83"/>
      <x:c r="H175" s="83"/>
      <x:c r="I175" s="83"/>
      <x:c r="J175" s="83"/>
      <x:c r="K175" s="83"/>
      <x:c r="L175" s="83"/>
      <x:c r="M175" s="75" t="str">
        <x:f>IF(COUNTA(A175:L175)=0,"",IF(AND(A175&lt;&gt;"",B175&lt;&gt;"",C175="N4",OR(D175="Ngữ pháp",D175="Đọc",D175="Nghe",D175="Từ và kanji",D175="Giao tiếp"),OR(F175="Mới",F175="Ôn lại",F175="Hỗ trợ",F175="Luyện"),ISNUMBER(G175),ISNUMBER(H175),ISNUMBER(I175),ISNUMBER(J175),G175&gt;=0,H175&gt;=G175,I175&gt;=H175,I175&gt;0,J175&gt;=0,MOD(G175,1)=0,MOD(H175,1)=0,MOD(I175,1)=0,COUNTIFS($A$8:A175,A175,$D$8:D175,D175,$F$8:F175,F175)=1),"Hợp lệ","Kiểm tra/trùng"))</x:f>
      </x:c>
    </x:row>
    <x:row r="176" ht="27" customHeight="1">
      <x:c r="A176" s="83"/>
      <x:c r="B176" s="83"/>
      <x:c r="C176" s="83"/>
      <x:c r="D176" s="83"/>
      <x:c r="E176" s="83"/>
      <x:c r="F176" s="83"/>
      <x:c r="G176" s="83"/>
      <x:c r="H176" s="83"/>
      <x:c r="I176" s="83"/>
      <x:c r="J176" s="83"/>
      <x:c r="K176" s="83"/>
      <x:c r="L176" s="83"/>
      <x:c r="M176" s="75" t="str">
        <x:f>IF(COUNTA(A176:L176)=0,"",IF(AND(A176&lt;&gt;"",B176&lt;&gt;"",C176="N4",OR(D176="Ngữ pháp",D176="Đọc",D176="Nghe",D176="Từ và kanji",D176="Giao tiếp"),OR(F176="Mới",F176="Ôn lại",F176="Hỗ trợ",F176="Luyện"),ISNUMBER(G176),ISNUMBER(H176),ISNUMBER(I176),ISNUMBER(J176),G176&gt;=0,H176&gt;=G176,I176&gt;=H176,I176&gt;0,J176&gt;=0,MOD(G176,1)=0,MOD(H176,1)=0,MOD(I176,1)=0,COUNTIFS($A$8:A176,A176,$D$8:D176,D176,$F$8:F176,F176)=1),"Hợp lệ","Kiểm tra/trùng"))</x:f>
      </x:c>
    </x:row>
    <x:row r="177" ht="27" customHeight="1">
      <x:c r="A177" s="83"/>
      <x:c r="B177" s="83"/>
      <x:c r="C177" s="83"/>
      <x:c r="D177" s="83"/>
      <x:c r="E177" s="83"/>
      <x:c r="F177" s="83"/>
      <x:c r="G177" s="83"/>
      <x:c r="H177" s="83"/>
      <x:c r="I177" s="83"/>
      <x:c r="J177" s="83"/>
      <x:c r="K177" s="83"/>
      <x:c r="L177" s="83"/>
      <x:c r="M177" s="75" t="str">
        <x:f>IF(COUNTA(A177:L177)=0,"",IF(AND(A177&lt;&gt;"",B177&lt;&gt;"",C177="N4",OR(D177="Ngữ pháp",D177="Đọc",D177="Nghe",D177="Từ và kanji",D177="Giao tiếp"),OR(F177="Mới",F177="Ôn lại",F177="Hỗ trợ",F177="Luyện"),ISNUMBER(G177),ISNUMBER(H177),ISNUMBER(I177),ISNUMBER(J177),G177&gt;=0,H177&gt;=G177,I177&gt;=H177,I177&gt;0,J177&gt;=0,MOD(G177,1)=0,MOD(H177,1)=0,MOD(I177,1)=0,COUNTIFS($A$8:A177,A177,$D$8:D177,D177,$F$8:F177,F177)=1),"Hợp lệ","Kiểm tra/trùng"))</x:f>
      </x:c>
    </x:row>
    <x:row r="178" ht="27" customHeight="1">
      <x:c r="A178" s="83"/>
      <x:c r="B178" s="83"/>
      <x:c r="C178" s="83"/>
      <x:c r="D178" s="83"/>
      <x:c r="E178" s="83"/>
      <x:c r="F178" s="83"/>
      <x:c r="G178" s="83"/>
      <x:c r="H178" s="83"/>
      <x:c r="I178" s="83"/>
      <x:c r="J178" s="83"/>
      <x:c r="K178" s="83"/>
      <x:c r="L178" s="83"/>
      <x:c r="M178" s="75" t="str">
        <x:f>IF(COUNTA(A178:L178)=0,"",IF(AND(A178&lt;&gt;"",B178&lt;&gt;"",C178="N4",OR(D178="Ngữ pháp",D178="Đọc",D178="Nghe",D178="Từ và kanji",D178="Giao tiếp"),OR(F178="Mới",F178="Ôn lại",F178="Hỗ trợ",F178="Luyện"),ISNUMBER(G178),ISNUMBER(H178),ISNUMBER(I178),ISNUMBER(J178),G178&gt;=0,H178&gt;=G178,I178&gt;=H178,I178&gt;0,J178&gt;=0,MOD(G178,1)=0,MOD(H178,1)=0,MOD(I178,1)=0,COUNTIFS($A$8:A178,A178,$D$8:D178,D178,$F$8:F178,F178)=1),"Hợp lệ","Kiểm tra/trùng"))</x:f>
      </x:c>
    </x:row>
    <x:row r="179" ht="27" customHeight="1">
      <x:c r="A179" s="83"/>
      <x:c r="B179" s="83"/>
      <x:c r="C179" s="83"/>
      <x:c r="D179" s="83"/>
      <x:c r="E179" s="83"/>
      <x:c r="F179" s="83"/>
      <x:c r="G179" s="83"/>
      <x:c r="H179" s="83"/>
      <x:c r="I179" s="83"/>
      <x:c r="J179" s="83"/>
      <x:c r="K179" s="83"/>
      <x:c r="L179" s="83"/>
      <x:c r="M179" s="75" t="str">
        <x:f>IF(COUNTA(A179:L179)=0,"",IF(AND(A179&lt;&gt;"",B179&lt;&gt;"",C179="N4",OR(D179="Ngữ pháp",D179="Đọc",D179="Nghe",D179="Từ và kanji",D179="Giao tiếp"),OR(F179="Mới",F179="Ôn lại",F179="Hỗ trợ",F179="Luyện"),ISNUMBER(G179),ISNUMBER(H179),ISNUMBER(I179),ISNUMBER(J179),G179&gt;=0,H179&gt;=G179,I179&gt;=H179,I179&gt;0,J179&gt;=0,MOD(G179,1)=0,MOD(H179,1)=0,MOD(I179,1)=0,COUNTIFS($A$8:A179,A179,$D$8:D179,D179,$F$8:F179,F179)=1),"Hợp lệ","Kiểm tra/trùng"))</x:f>
      </x:c>
    </x:row>
    <x:row r="180" ht="27" customHeight="1">
      <x:c r="A180" s="83"/>
      <x:c r="B180" s="83"/>
      <x:c r="C180" s="83"/>
      <x:c r="D180" s="83"/>
      <x:c r="E180" s="83"/>
      <x:c r="F180" s="83"/>
      <x:c r="G180" s="83"/>
      <x:c r="H180" s="83"/>
      <x:c r="I180" s="83"/>
      <x:c r="J180" s="83"/>
      <x:c r="K180" s="83"/>
      <x:c r="L180" s="83"/>
      <x:c r="M180" s="75" t="str">
        <x:f>IF(COUNTA(A180:L180)=0,"",IF(AND(A180&lt;&gt;"",B180&lt;&gt;"",C180="N4",OR(D180="Ngữ pháp",D180="Đọc",D180="Nghe",D180="Từ và kanji",D180="Giao tiếp"),OR(F180="Mới",F180="Ôn lại",F180="Hỗ trợ",F180="Luyện"),ISNUMBER(G180),ISNUMBER(H180),ISNUMBER(I180),ISNUMBER(J180),G180&gt;=0,H180&gt;=G180,I180&gt;=H180,I180&gt;0,J180&gt;=0,MOD(G180,1)=0,MOD(H180,1)=0,MOD(I180,1)=0,COUNTIFS($A$8:A180,A180,$D$8:D180,D180,$F$8:F180,F180)=1),"Hợp lệ","Kiểm tra/trùng"))</x:f>
      </x:c>
    </x:row>
    <x:row r="181" ht="27" customHeight="1">
      <x:c r="A181" s="83"/>
      <x:c r="B181" s="83"/>
      <x:c r="C181" s="83"/>
      <x:c r="D181" s="83"/>
      <x:c r="E181" s="83"/>
      <x:c r="F181" s="83"/>
      <x:c r="G181" s="83"/>
      <x:c r="H181" s="83"/>
      <x:c r="I181" s="83"/>
      <x:c r="J181" s="83"/>
      <x:c r="K181" s="83"/>
      <x:c r="L181" s="83"/>
      <x:c r="M181" s="75" t="str">
        <x:f>IF(COUNTA(A181:L181)=0,"",IF(AND(A181&lt;&gt;"",B181&lt;&gt;"",C181="N4",OR(D181="Ngữ pháp",D181="Đọc",D181="Nghe",D181="Từ và kanji",D181="Giao tiếp"),OR(F181="Mới",F181="Ôn lại",F181="Hỗ trợ",F181="Luyện"),ISNUMBER(G181),ISNUMBER(H181),ISNUMBER(I181),ISNUMBER(J181),G181&gt;=0,H181&gt;=G181,I181&gt;=H181,I181&gt;0,J181&gt;=0,MOD(G181,1)=0,MOD(H181,1)=0,MOD(I181,1)=0,COUNTIFS($A$8:A181,A181,$D$8:D181,D181,$F$8:F181,F181)=1),"Hợp lệ","Kiểm tra/trùng"))</x:f>
      </x:c>
    </x:row>
    <x:row r="182" ht="27" customHeight="1">
      <x:c r="A182" s="83"/>
      <x:c r="B182" s="83"/>
      <x:c r="C182" s="83"/>
      <x:c r="D182" s="83"/>
      <x:c r="E182" s="83"/>
      <x:c r="F182" s="83"/>
      <x:c r="G182" s="83"/>
      <x:c r="H182" s="83"/>
      <x:c r="I182" s="83"/>
      <x:c r="J182" s="83"/>
      <x:c r="K182" s="83"/>
      <x:c r="L182" s="83"/>
      <x:c r="M182" s="75" t="str">
        <x:f>IF(COUNTA(A182:L182)=0,"",IF(AND(A182&lt;&gt;"",B182&lt;&gt;"",C182="N4",OR(D182="Ngữ pháp",D182="Đọc",D182="Nghe",D182="Từ và kanji",D182="Giao tiếp"),OR(F182="Mới",F182="Ôn lại",F182="Hỗ trợ",F182="Luyện"),ISNUMBER(G182),ISNUMBER(H182),ISNUMBER(I182),ISNUMBER(J182),G182&gt;=0,H182&gt;=G182,I182&gt;=H182,I182&gt;0,J182&gt;=0,MOD(G182,1)=0,MOD(H182,1)=0,MOD(I182,1)=0,COUNTIFS($A$8:A182,A182,$D$8:D182,D182,$F$8:F182,F182)=1),"Hợp lệ","Kiểm tra/trùng"))</x:f>
      </x:c>
    </x:row>
    <x:row r="183" ht="27" customHeight="1">
      <x:c r="A183" s="83"/>
      <x:c r="B183" s="83"/>
      <x:c r="C183" s="83"/>
      <x:c r="D183" s="83"/>
      <x:c r="E183" s="83"/>
      <x:c r="F183" s="83"/>
      <x:c r="G183" s="83"/>
      <x:c r="H183" s="83"/>
      <x:c r="I183" s="83"/>
      <x:c r="J183" s="83"/>
      <x:c r="K183" s="83"/>
      <x:c r="L183" s="83"/>
      <x:c r="M183" s="75" t="str">
        <x:f>IF(COUNTA(A183:L183)=0,"",IF(AND(A183&lt;&gt;"",B183&lt;&gt;"",C183="N4",OR(D183="Ngữ pháp",D183="Đọc",D183="Nghe",D183="Từ và kanji",D183="Giao tiếp"),OR(F183="Mới",F183="Ôn lại",F183="Hỗ trợ",F183="Luyện"),ISNUMBER(G183),ISNUMBER(H183),ISNUMBER(I183),ISNUMBER(J183),G183&gt;=0,H183&gt;=G183,I183&gt;=H183,I183&gt;0,J183&gt;=0,MOD(G183,1)=0,MOD(H183,1)=0,MOD(I183,1)=0,COUNTIFS($A$8:A183,A183,$D$8:D183,D183,$F$8:F183,F183)=1),"Hợp lệ","Kiểm tra/trùng"))</x:f>
      </x:c>
    </x:row>
    <x:row r="184" ht="27" customHeight="1">
      <x:c r="A184" s="83"/>
      <x:c r="B184" s="83"/>
      <x:c r="C184" s="83"/>
      <x:c r="D184" s="83"/>
      <x:c r="E184" s="83"/>
      <x:c r="F184" s="83"/>
      <x:c r="G184" s="83"/>
      <x:c r="H184" s="83"/>
      <x:c r="I184" s="83"/>
      <x:c r="J184" s="83"/>
      <x:c r="K184" s="83"/>
      <x:c r="L184" s="83"/>
      <x:c r="M184" s="75" t="str">
        <x:f>IF(COUNTA(A184:L184)=0,"",IF(AND(A184&lt;&gt;"",B184&lt;&gt;"",C184="N4",OR(D184="Ngữ pháp",D184="Đọc",D184="Nghe",D184="Từ và kanji",D184="Giao tiếp"),OR(F184="Mới",F184="Ôn lại",F184="Hỗ trợ",F184="Luyện"),ISNUMBER(G184),ISNUMBER(H184),ISNUMBER(I184),ISNUMBER(J184),G184&gt;=0,H184&gt;=G184,I184&gt;=H184,I184&gt;0,J184&gt;=0,MOD(G184,1)=0,MOD(H184,1)=0,MOD(I184,1)=0,COUNTIFS($A$8:A184,A184,$D$8:D184,D184,$F$8:F184,F184)=1),"Hợp lệ","Kiểm tra/trùng"))</x:f>
      </x:c>
    </x:row>
    <x:row r="185" ht="27" customHeight="1">
      <x:c r="A185" s="83"/>
      <x:c r="B185" s="83"/>
      <x:c r="C185" s="83"/>
      <x:c r="D185" s="83"/>
      <x:c r="E185" s="83"/>
      <x:c r="F185" s="83"/>
      <x:c r="G185" s="83"/>
      <x:c r="H185" s="83"/>
      <x:c r="I185" s="83"/>
      <x:c r="J185" s="83"/>
      <x:c r="K185" s="83"/>
      <x:c r="L185" s="83"/>
      <x:c r="M185" s="75" t="str">
        <x:f>IF(COUNTA(A185:L185)=0,"",IF(AND(A185&lt;&gt;"",B185&lt;&gt;"",C185="N4",OR(D185="Ngữ pháp",D185="Đọc",D185="Nghe",D185="Từ và kanji",D185="Giao tiếp"),OR(F185="Mới",F185="Ôn lại",F185="Hỗ trợ",F185="Luyện"),ISNUMBER(G185),ISNUMBER(H185),ISNUMBER(I185),ISNUMBER(J185),G185&gt;=0,H185&gt;=G185,I185&gt;=H185,I185&gt;0,J185&gt;=0,MOD(G185,1)=0,MOD(H185,1)=0,MOD(I185,1)=0,COUNTIFS($A$8:A185,A185,$D$8:D185,D185,$F$8:F185,F185)=1),"Hợp lệ","Kiểm tra/trùng"))</x:f>
      </x:c>
    </x:row>
    <x:row r="186" ht="27" customHeight="1">
      <x:c r="A186" s="83"/>
      <x:c r="B186" s="83"/>
      <x:c r="C186" s="83"/>
      <x:c r="D186" s="83"/>
      <x:c r="E186" s="83"/>
      <x:c r="F186" s="83"/>
      <x:c r="G186" s="83"/>
      <x:c r="H186" s="83"/>
      <x:c r="I186" s="83"/>
      <x:c r="J186" s="83"/>
      <x:c r="K186" s="83"/>
      <x:c r="L186" s="83"/>
      <x:c r="M186" s="75" t="str">
        <x:f>IF(COUNTA(A186:L186)=0,"",IF(AND(A186&lt;&gt;"",B186&lt;&gt;"",C186="N4",OR(D186="Ngữ pháp",D186="Đọc",D186="Nghe",D186="Từ và kanji",D186="Giao tiếp"),OR(F186="Mới",F186="Ôn lại",F186="Hỗ trợ",F186="Luyện"),ISNUMBER(G186),ISNUMBER(H186),ISNUMBER(I186),ISNUMBER(J186),G186&gt;=0,H186&gt;=G186,I186&gt;=H186,I186&gt;0,J186&gt;=0,MOD(G186,1)=0,MOD(H186,1)=0,MOD(I186,1)=0,COUNTIFS($A$8:A186,A186,$D$8:D186,D186,$F$8:F186,F186)=1),"Hợp lệ","Kiểm tra/trùng"))</x:f>
      </x:c>
    </x:row>
    <x:row r="187" ht="27" customHeight="1">
      <x:c r="A187" s="83"/>
      <x:c r="B187" s="83"/>
      <x:c r="C187" s="83"/>
      <x:c r="D187" s="83"/>
      <x:c r="E187" s="83"/>
      <x:c r="F187" s="83"/>
      <x:c r="G187" s="83"/>
      <x:c r="H187" s="83"/>
      <x:c r="I187" s="83"/>
      <x:c r="J187" s="83"/>
      <x:c r="K187" s="83"/>
      <x:c r="L187" s="83"/>
      <x:c r="M187" s="75" t="str">
        <x:f>IF(COUNTA(A187:L187)=0,"",IF(AND(A187&lt;&gt;"",B187&lt;&gt;"",C187="N4",OR(D187="Ngữ pháp",D187="Đọc",D187="Nghe",D187="Từ và kanji",D187="Giao tiếp"),OR(F187="Mới",F187="Ôn lại",F187="Hỗ trợ",F187="Luyện"),ISNUMBER(G187),ISNUMBER(H187),ISNUMBER(I187),ISNUMBER(J187),G187&gt;=0,H187&gt;=G187,I187&gt;=H187,I187&gt;0,J187&gt;=0,MOD(G187,1)=0,MOD(H187,1)=0,MOD(I187,1)=0,COUNTIFS($A$8:A187,A187,$D$8:D187,D187,$F$8:F187,F187)=1),"Hợp lệ","Kiểm tra/trùng"))</x:f>
      </x:c>
    </x:row>
    <x:row r="188" ht="27" customHeight="1">
      <x:c r="A188" s="83"/>
      <x:c r="B188" s="83"/>
      <x:c r="C188" s="83"/>
      <x:c r="D188" s="83"/>
      <x:c r="E188" s="83"/>
      <x:c r="F188" s="83"/>
      <x:c r="G188" s="83"/>
      <x:c r="H188" s="83"/>
      <x:c r="I188" s="83"/>
      <x:c r="J188" s="83"/>
      <x:c r="K188" s="83"/>
      <x:c r="L188" s="83"/>
      <x:c r="M188" s="75" t="str">
        <x:f>IF(COUNTA(A188:L188)=0,"",IF(AND(A188&lt;&gt;"",B188&lt;&gt;"",C188="N4",OR(D188="Ngữ pháp",D188="Đọc",D188="Nghe",D188="Từ và kanji",D188="Giao tiếp"),OR(F188="Mới",F188="Ôn lại",F188="Hỗ trợ",F188="Luyện"),ISNUMBER(G188),ISNUMBER(H188),ISNUMBER(I188),ISNUMBER(J188),G188&gt;=0,H188&gt;=G188,I188&gt;=H188,I188&gt;0,J188&gt;=0,MOD(G188,1)=0,MOD(H188,1)=0,MOD(I188,1)=0,COUNTIFS($A$8:A188,A188,$D$8:D188,D188,$F$8:F188,F188)=1),"Hợp lệ","Kiểm tra/trùng"))</x:f>
      </x:c>
    </x:row>
    <x:row r="189" ht="27" customHeight="1">
      <x:c r="A189" s="83"/>
      <x:c r="B189" s="83"/>
      <x:c r="C189" s="83"/>
      <x:c r="D189" s="83"/>
      <x:c r="E189" s="83"/>
      <x:c r="F189" s="83"/>
      <x:c r="G189" s="83"/>
      <x:c r="H189" s="83"/>
      <x:c r="I189" s="83"/>
      <x:c r="J189" s="83"/>
      <x:c r="K189" s="83"/>
      <x:c r="L189" s="83"/>
      <x:c r="M189" s="75" t="str">
        <x:f>IF(COUNTA(A189:L189)=0,"",IF(AND(A189&lt;&gt;"",B189&lt;&gt;"",C189="N4",OR(D189="Ngữ pháp",D189="Đọc",D189="Nghe",D189="Từ và kanji",D189="Giao tiếp"),OR(F189="Mới",F189="Ôn lại",F189="Hỗ trợ",F189="Luyện"),ISNUMBER(G189),ISNUMBER(H189),ISNUMBER(I189),ISNUMBER(J189),G189&gt;=0,H189&gt;=G189,I189&gt;=H189,I189&gt;0,J189&gt;=0,MOD(G189,1)=0,MOD(H189,1)=0,MOD(I189,1)=0,COUNTIFS($A$8:A189,A189,$D$8:D189,D189,$F$8:F189,F189)=1),"Hợp lệ","Kiểm tra/trùng"))</x:f>
      </x:c>
    </x:row>
    <x:row r="190" ht="27" customHeight="1">
      <x:c r="A190" s="83"/>
      <x:c r="B190" s="83"/>
      <x:c r="C190" s="83"/>
      <x:c r="D190" s="83"/>
      <x:c r="E190" s="83"/>
      <x:c r="F190" s="83"/>
      <x:c r="G190" s="83"/>
      <x:c r="H190" s="83"/>
      <x:c r="I190" s="83"/>
      <x:c r="J190" s="83"/>
      <x:c r="K190" s="83"/>
      <x:c r="L190" s="83"/>
      <x:c r="M190" s="75" t="str">
        <x:f>IF(COUNTA(A190:L190)=0,"",IF(AND(A190&lt;&gt;"",B190&lt;&gt;"",C190="N4",OR(D190="Ngữ pháp",D190="Đọc",D190="Nghe",D190="Từ và kanji",D190="Giao tiếp"),OR(F190="Mới",F190="Ôn lại",F190="Hỗ trợ",F190="Luyện"),ISNUMBER(G190),ISNUMBER(H190),ISNUMBER(I190),ISNUMBER(J190),G190&gt;=0,H190&gt;=G190,I190&gt;=H190,I190&gt;0,J190&gt;=0,MOD(G190,1)=0,MOD(H190,1)=0,MOD(I190,1)=0,COUNTIFS($A$8:A190,A190,$D$8:D190,D190,$F$8:F190,F190)=1),"Hợp lệ","Kiểm tra/trùng"))</x:f>
      </x:c>
    </x:row>
    <x:row r="191" ht="27" customHeight="1">
      <x:c r="A191" s="83"/>
      <x:c r="B191" s="83"/>
      <x:c r="C191" s="83"/>
      <x:c r="D191" s="83"/>
      <x:c r="E191" s="83"/>
      <x:c r="F191" s="83"/>
      <x:c r="G191" s="83"/>
      <x:c r="H191" s="83"/>
      <x:c r="I191" s="83"/>
      <x:c r="J191" s="83"/>
      <x:c r="K191" s="83"/>
      <x:c r="L191" s="83"/>
      <x:c r="M191" s="75" t="str">
        <x:f>IF(COUNTA(A191:L191)=0,"",IF(AND(A191&lt;&gt;"",B191&lt;&gt;"",C191="N4",OR(D191="Ngữ pháp",D191="Đọc",D191="Nghe",D191="Từ và kanji",D191="Giao tiếp"),OR(F191="Mới",F191="Ôn lại",F191="Hỗ trợ",F191="Luyện"),ISNUMBER(G191),ISNUMBER(H191),ISNUMBER(I191),ISNUMBER(J191),G191&gt;=0,H191&gt;=G191,I191&gt;=H191,I191&gt;0,J191&gt;=0,MOD(G191,1)=0,MOD(H191,1)=0,MOD(I191,1)=0,COUNTIFS($A$8:A191,A191,$D$8:D191,D191,$F$8:F191,F191)=1),"Hợp lệ","Kiểm tra/trùng"))</x:f>
      </x:c>
    </x:row>
    <x:row r="192" ht="27" customHeight="1">
      <x:c r="A192" s="83"/>
      <x:c r="B192" s="83"/>
      <x:c r="C192" s="83"/>
      <x:c r="D192" s="83"/>
      <x:c r="E192" s="83"/>
      <x:c r="F192" s="83"/>
      <x:c r="G192" s="83"/>
      <x:c r="H192" s="83"/>
      <x:c r="I192" s="83"/>
      <x:c r="J192" s="83"/>
      <x:c r="K192" s="83"/>
      <x:c r="L192" s="83"/>
      <x:c r="M192" s="75" t="str">
        <x:f>IF(COUNTA(A192:L192)=0,"",IF(AND(A192&lt;&gt;"",B192&lt;&gt;"",C192="N4",OR(D192="Ngữ pháp",D192="Đọc",D192="Nghe",D192="Từ và kanji",D192="Giao tiếp"),OR(F192="Mới",F192="Ôn lại",F192="Hỗ trợ",F192="Luyện"),ISNUMBER(G192),ISNUMBER(H192),ISNUMBER(I192),ISNUMBER(J192),G192&gt;=0,H192&gt;=G192,I192&gt;=H192,I192&gt;0,J192&gt;=0,MOD(G192,1)=0,MOD(H192,1)=0,MOD(I192,1)=0,COUNTIFS($A$8:A192,A192,$D$8:D192,D192,$F$8:F192,F192)=1),"Hợp lệ","Kiểm tra/trùng"))</x:f>
      </x:c>
    </x:row>
    <x:row r="193" ht="27" customHeight="1">
      <x:c r="A193" s="83"/>
      <x:c r="B193" s="83"/>
      <x:c r="C193" s="83"/>
      <x:c r="D193" s="83"/>
      <x:c r="E193" s="83"/>
      <x:c r="F193" s="83"/>
      <x:c r="G193" s="83"/>
      <x:c r="H193" s="83"/>
      <x:c r="I193" s="83"/>
      <x:c r="J193" s="83"/>
      <x:c r="K193" s="83"/>
      <x:c r="L193" s="83"/>
      <x:c r="M193" s="75" t="str">
        <x:f>IF(COUNTA(A193:L193)=0,"",IF(AND(A193&lt;&gt;"",B193&lt;&gt;"",C193="N4",OR(D193="Ngữ pháp",D193="Đọc",D193="Nghe",D193="Từ và kanji",D193="Giao tiếp"),OR(F193="Mới",F193="Ôn lại",F193="Hỗ trợ",F193="Luyện"),ISNUMBER(G193),ISNUMBER(H193),ISNUMBER(I193),ISNUMBER(J193),G193&gt;=0,H193&gt;=G193,I193&gt;=H193,I193&gt;0,J193&gt;=0,MOD(G193,1)=0,MOD(H193,1)=0,MOD(I193,1)=0,COUNTIFS($A$8:A193,A193,$D$8:D193,D193,$F$8:F193,F193)=1),"Hợp lệ","Kiểm tra/trùng"))</x:f>
      </x:c>
    </x:row>
    <x:row r="194" ht="27" customHeight="1">
      <x:c r="A194" s="83"/>
      <x:c r="B194" s="83"/>
      <x:c r="C194" s="83"/>
      <x:c r="D194" s="83"/>
      <x:c r="E194" s="83"/>
      <x:c r="F194" s="83"/>
      <x:c r="G194" s="83"/>
      <x:c r="H194" s="83"/>
      <x:c r="I194" s="83"/>
      <x:c r="J194" s="83"/>
      <x:c r="K194" s="83"/>
      <x:c r="L194" s="83"/>
      <x:c r="M194" s="75" t="str">
        <x:f>IF(COUNTA(A194:L194)=0,"",IF(AND(A194&lt;&gt;"",B194&lt;&gt;"",C194="N4",OR(D194="Ngữ pháp",D194="Đọc",D194="Nghe",D194="Từ và kanji",D194="Giao tiếp"),OR(F194="Mới",F194="Ôn lại",F194="Hỗ trợ",F194="Luyện"),ISNUMBER(G194),ISNUMBER(H194),ISNUMBER(I194),ISNUMBER(J194),G194&gt;=0,H194&gt;=G194,I194&gt;=H194,I194&gt;0,J194&gt;=0,MOD(G194,1)=0,MOD(H194,1)=0,MOD(I194,1)=0,COUNTIFS($A$8:A194,A194,$D$8:D194,D194,$F$8:F194,F194)=1),"Hợp lệ","Kiểm tra/trùng"))</x:f>
      </x:c>
    </x:row>
    <x:row r="195" ht="27" customHeight="1">
      <x:c r="A195" s="83"/>
      <x:c r="B195" s="83"/>
      <x:c r="C195" s="83"/>
      <x:c r="D195" s="83"/>
      <x:c r="E195" s="83"/>
      <x:c r="F195" s="83"/>
      <x:c r="G195" s="83"/>
      <x:c r="H195" s="83"/>
      <x:c r="I195" s="83"/>
      <x:c r="J195" s="83"/>
      <x:c r="K195" s="83"/>
      <x:c r="L195" s="83"/>
      <x:c r="M195" s="75" t="str">
        <x:f>IF(COUNTA(A195:L195)=0,"",IF(AND(A195&lt;&gt;"",B195&lt;&gt;"",C195="N4",OR(D195="Ngữ pháp",D195="Đọc",D195="Nghe",D195="Từ và kanji",D195="Giao tiếp"),OR(F195="Mới",F195="Ôn lại",F195="Hỗ trợ",F195="Luyện"),ISNUMBER(G195),ISNUMBER(H195),ISNUMBER(I195),ISNUMBER(J195),G195&gt;=0,H195&gt;=G195,I195&gt;=H195,I195&gt;0,J195&gt;=0,MOD(G195,1)=0,MOD(H195,1)=0,MOD(I195,1)=0,COUNTIFS($A$8:A195,A195,$D$8:D195,D195,$F$8:F195,F195)=1),"Hợp lệ","Kiểm tra/trùng"))</x:f>
      </x:c>
    </x:row>
    <x:row r="196" ht="27" customHeight="1">
      <x:c r="A196" s="83"/>
      <x:c r="B196" s="83"/>
      <x:c r="C196" s="83"/>
      <x:c r="D196" s="83"/>
      <x:c r="E196" s="83"/>
      <x:c r="F196" s="83"/>
      <x:c r="G196" s="83"/>
      <x:c r="H196" s="83"/>
      <x:c r="I196" s="83"/>
      <x:c r="J196" s="83"/>
      <x:c r="K196" s="83"/>
      <x:c r="L196" s="83"/>
      <x:c r="M196" s="75" t="str">
        <x:f>IF(COUNTA(A196:L196)=0,"",IF(AND(A196&lt;&gt;"",B196&lt;&gt;"",C196="N4",OR(D196="Ngữ pháp",D196="Đọc",D196="Nghe",D196="Từ và kanji",D196="Giao tiếp"),OR(F196="Mới",F196="Ôn lại",F196="Hỗ trợ",F196="Luyện"),ISNUMBER(G196),ISNUMBER(H196),ISNUMBER(I196),ISNUMBER(J196),G196&gt;=0,H196&gt;=G196,I196&gt;=H196,I196&gt;0,J196&gt;=0,MOD(G196,1)=0,MOD(H196,1)=0,MOD(I196,1)=0,COUNTIFS($A$8:A196,A196,$D$8:D196,D196,$F$8:F196,F196)=1),"Hợp lệ","Kiểm tra/trùng"))</x:f>
      </x:c>
    </x:row>
    <x:row r="197" ht="27" customHeight="1">
      <x:c r="A197" s="83"/>
      <x:c r="B197" s="83"/>
      <x:c r="C197" s="83"/>
      <x:c r="D197" s="83"/>
      <x:c r="E197" s="83"/>
      <x:c r="F197" s="83"/>
      <x:c r="G197" s="83"/>
      <x:c r="H197" s="83"/>
      <x:c r="I197" s="83"/>
      <x:c r="J197" s="83"/>
      <x:c r="K197" s="83"/>
      <x:c r="L197" s="83"/>
      <x:c r="M197" s="75" t="str">
        <x:f>IF(COUNTA(A197:L197)=0,"",IF(AND(A197&lt;&gt;"",B197&lt;&gt;"",C197="N4",OR(D197="Ngữ pháp",D197="Đọc",D197="Nghe",D197="Từ và kanji",D197="Giao tiếp"),OR(F197="Mới",F197="Ôn lại",F197="Hỗ trợ",F197="Luyện"),ISNUMBER(G197),ISNUMBER(H197),ISNUMBER(I197),ISNUMBER(J197),G197&gt;=0,H197&gt;=G197,I197&gt;=H197,I197&gt;0,J197&gt;=0,MOD(G197,1)=0,MOD(H197,1)=0,MOD(I197,1)=0,COUNTIFS($A$8:A197,A197,$D$8:D197,D197,$F$8:F197,F197)=1),"Hợp lệ","Kiểm tra/trùng"))</x:f>
      </x:c>
    </x:row>
    <x:row r="198" ht="27" customHeight="1">
      <x:c r="A198" s="83"/>
      <x:c r="B198" s="83"/>
      <x:c r="C198" s="83"/>
      <x:c r="D198" s="83"/>
      <x:c r="E198" s="83"/>
      <x:c r="F198" s="83"/>
      <x:c r="G198" s="83"/>
      <x:c r="H198" s="83"/>
      <x:c r="I198" s="83"/>
      <x:c r="J198" s="83"/>
      <x:c r="K198" s="83"/>
      <x:c r="L198" s="83"/>
      <x:c r="M198" s="75" t="str">
        <x:f>IF(COUNTA(A198:L198)=0,"",IF(AND(A198&lt;&gt;"",B198&lt;&gt;"",C198="N4",OR(D198="Ngữ pháp",D198="Đọc",D198="Nghe",D198="Từ và kanji",D198="Giao tiếp"),OR(F198="Mới",F198="Ôn lại",F198="Hỗ trợ",F198="Luyện"),ISNUMBER(G198),ISNUMBER(H198),ISNUMBER(I198),ISNUMBER(J198),G198&gt;=0,H198&gt;=G198,I198&gt;=H198,I198&gt;0,J198&gt;=0,MOD(G198,1)=0,MOD(H198,1)=0,MOD(I198,1)=0,COUNTIFS($A$8:A198,A198,$D$8:D198,D198,$F$8:F198,F198)=1),"Hợp lệ","Kiểm tra/trùng"))</x:f>
      </x:c>
    </x:row>
    <x:row r="199" ht="27" customHeight="1">
      <x:c r="A199" s="83"/>
      <x:c r="B199" s="83"/>
      <x:c r="C199" s="83"/>
      <x:c r="D199" s="83"/>
      <x:c r="E199" s="83"/>
      <x:c r="F199" s="83"/>
      <x:c r="G199" s="83"/>
      <x:c r="H199" s="83"/>
      <x:c r="I199" s="83"/>
      <x:c r="J199" s="83"/>
      <x:c r="K199" s="83"/>
      <x:c r="L199" s="83"/>
      <x:c r="M199" s="75" t="str">
        <x:f>IF(COUNTA(A199:L199)=0,"",IF(AND(A199&lt;&gt;"",B199&lt;&gt;"",C199="N4",OR(D199="Ngữ pháp",D199="Đọc",D199="Nghe",D199="Từ và kanji",D199="Giao tiếp"),OR(F199="Mới",F199="Ôn lại",F199="Hỗ trợ",F199="Luyện"),ISNUMBER(G199),ISNUMBER(H199),ISNUMBER(I199),ISNUMBER(J199),G199&gt;=0,H199&gt;=G199,I199&gt;=H199,I199&gt;0,J199&gt;=0,MOD(G199,1)=0,MOD(H199,1)=0,MOD(I199,1)=0,COUNTIFS($A$8:A199,A199,$D$8:D199,D199,$F$8:F199,F199)=1),"Hợp lệ","Kiểm tra/trùng"))</x:f>
      </x:c>
    </x:row>
    <x:row r="200" ht="27" customHeight="1">
      <x:c r="A200" s="83"/>
      <x:c r="B200" s="83"/>
      <x:c r="C200" s="83"/>
      <x:c r="D200" s="83"/>
      <x:c r="E200" s="83"/>
      <x:c r="F200" s="83"/>
      <x:c r="G200" s="83"/>
      <x:c r="H200" s="83"/>
      <x:c r="I200" s="83"/>
      <x:c r="J200" s="83"/>
      <x:c r="K200" s="83"/>
      <x:c r="L200" s="83"/>
      <x:c r="M200" s="75" t="str">
        <x:f>IF(COUNTA(A200:L200)=0,"",IF(AND(A200&lt;&gt;"",B200&lt;&gt;"",C200="N4",OR(D200="Ngữ pháp",D200="Đọc",D200="Nghe",D200="Từ và kanji",D200="Giao tiếp"),OR(F200="Mới",F200="Ôn lại",F200="Hỗ trợ",F200="Luyện"),ISNUMBER(G200),ISNUMBER(H200),ISNUMBER(I200),ISNUMBER(J200),G200&gt;=0,H200&gt;=G200,I200&gt;=H200,I200&gt;0,J200&gt;=0,MOD(G200,1)=0,MOD(H200,1)=0,MOD(I200,1)=0,COUNTIFS($A$8:A200,A200,$D$8:D200,D200,$F$8:F200,F200)=1),"Hợp lệ","Kiểm tra/trùng"))</x:f>
      </x:c>
    </x:row>
    <x:row r="201" ht="27" customHeight="1">
      <x:c r="A201" s="83"/>
      <x:c r="B201" s="83"/>
      <x:c r="C201" s="83"/>
      <x:c r="D201" s="83"/>
      <x:c r="E201" s="83"/>
      <x:c r="F201" s="83"/>
      <x:c r="G201" s="83"/>
      <x:c r="H201" s="83"/>
      <x:c r="I201" s="83"/>
      <x:c r="J201" s="83"/>
      <x:c r="K201" s="83"/>
      <x:c r="L201" s="83"/>
      <x:c r="M201" s="75" t="str">
        <x:f>IF(COUNTA(A201:L201)=0,"",IF(AND(A201&lt;&gt;"",B201&lt;&gt;"",C201="N4",OR(D201="Ngữ pháp",D201="Đọc",D201="Nghe",D201="Từ và kanji",D201="Giao tiếp"),OR(F201="Mới",F201="Ôn lại",F201="Hỗ trợ",F201="Luyện"),ISNUMBER(G201),ISNUMBER(H201),ISNUMBER(I201),ISNUMBER(J201),G201&gt;=0,H201&gt;=G201,I201&gt;=H201,I201&gt;0,J201&gt;=0,MOD(G201,1)=0,MOD(H201,1)=0,MOD(I201,1)=0,COUNTIFS($A$8:A201,A201,$D$8:D201,D201,$F$8:F201,F201)=1),"Hợp lệ","Kiểm tra/trùng"))</x:f>
      </x:c>
    </x:row>
    <x:row r="202" ht="27" customHeight="1">
      <x:c r="A202" s="83"/>
      <x:c r="B202" s="83"/>
      <x:c r="C202" s="83"/>
      <x:c r="D202" s="83"/>
      <x:c r="E202" s="83"/>
      <x:c r="F202" s="83"/>
      <x:c r="G202" s="83"/>
      <x:c r="H202" s="83"/>
      <x:c r="I202" s="83"/>
      <x:c r="J202" s="83"/>
      <x:c r="K202" s="83"/>
      <x:c r="L202" s="83"/>
      <x:c r="M202" s="75" t="str">
        <x:f>IF(COUNTA(A202:L202)=0,"",IF(AND(A202&lt;&gt;"",B202&lt;&gt;"",C202="N4",OR(D202="Ngữ pháp",D202="Đọc",D202="Nghe",D202="Từ và kanji",D202="Giao tiếp"),OR(F202="Mới",F202="Ôn lại",F202="Hỗ trợ",F202="Luyện"),ISNUMBER(G202),ISNUMBER(H202),ISNUMBER(I202),ISNUMBER(J202),G202&gt;=0,H202&gt;=G202,I202&gt;=H202,I202&gt;0,J202&gt;=0,MOD(G202,1)=0,MOD(H202,1)=0,MOD(I202,1)=0,COUNTIFS($A$8:A202,A202,$D$8:D202,D202,$F$8:F202,F202)=1),"Hợp lệ","Kiểm tra/trùng"))</x:f>
      </x:c>
    </x:row>
    <x:row r="203" ht="27" customHeight="1">
      <x:c r="A203" s="83"/>
      <x:c r="B203" s="83"/>
      <x:c r="C203" s="83"/>
      <x:c r="D203" s="83"/>
      <x:c r="E203" s="83"/>
      <x:c r="F203" s="83"/>
      <x:c r="G203" s="83"/>
      <x:c r="H203" s="83"/>
      <x:c r="I203" s="83"/>
      <x:c r="J203" s="83"/>
      <x:c r="K203" s="83"/>
      <x:c r="L203" s="83"/>
      <x:c r="M203" s="75" t="str">
        <x:f>IF(COUNTA(A203:L203)=0,"",IF(AND(A203&lt;&gt;"",B203&lt;&gt;"",C203="N4",OR(D203="Ngữ pháp",D203="Đọc",D203="Nghe",D203="Từ và kanji",D203="Giao tiếp"),OR(F203="Mới",F203="Ôn lại",F203="Hỗ trợ",F203="Luyện"),ISNUMBER(G203),ISNUMBER(H203),ISNUMBER(I203),ISNUMBER(J203),G203&gt;=0,H203&gt;=G203,I203&gt;=H203,I203&gt;0,J203&gt;=0,MOD(G203,1)=0,MOD(H203,1)=0,MOD(I203,1)=0,COUNTIFS($A$8:A203,A203,$D$8:D203,D203,$F$8:F203,F203)=1),"Hợp lệ","Kiểm tra/trùng"))</x:f>
      </x:c>
    </x:row>
    <x:row r="204" ht="27" customHeight="1">
      <x:c r="A204" s="83"/>
      <x:c r="B204" s="83"/>
      <x:c r="C204" s="83"/>
      <x:c r="D204" s="83"/>
      <x:c r="E204" s="83"/>
      <x:c r="F204" s="83"/>
      <x:c r="G204" s="83"/>
      <x:c r="H204" s="83"/>
      <x:c r="I204" s="83"/>
      <x:c r="J204" s="83"/>
      <x:c r="K204" s="83"/>
      <x:c r="L204" s="83"/>
      <x:c r="M204" s="75" t="str">
        <x:f>IF(COUNTA(A204:L204)=0,"",IF(AND(A204&lt;&gt;"",B204&lt;&gt;"",C204="N4",OR(D204="Ngữ pháp",D204="Đọc",D204="Nghe",D204="Từ và kanji",D204="Giao tiếp"),OR(F204="Mới",F204="Ôn lại",F204="Hỗ trợ",F204="Luyện"),ISNUMBER(G204),ISNUMBER(H204),ISNUMBER(I204),ISNUMBER(J204),G204&gt;=0,H204&gt;=G204,I204&gt;=H204,I204&gt;0,J204&gt;=0,MOD(G204,1)=0,MOD(H204,1)=0,MOD(I204,1)=0,COUNTIFS($A$8:A204,A204,$D$8:D204,D204,$F$8:F204,F204)=1),"Hợp lệ","Kiểm tra/trùng"))</x:f>
      </x:c>
    </x:row>
    <x:row r="205" ht="27" customHeight="1">
      <x:c r="A205" s="83"/>
      <x:c r="B205" s="83"/>
      <x:c r="C205" s="83"/>
      <x:c r="D205" s="83"/>
      <x:c r="E205" s="83"/>
      <x:c r="F205" s="83"/>
      <x:c r="G205" s="83"/>
      <x:c r="H205" s="83"/>
      <x:c r="I205" s="83"/>
      <x:c r="J205" s="83"/>
      <x:c r="K205" s="83"/>
      <x:c r="L205" s="83"/>
      <x:c r="M205" s="75" t="str">
        <x:f>IF(COUNTA(A205:L205)=0,"",IF(AND(A205&lt;&gt;"",B205&lt;&gt;"",C205="N4",OR(D205="Ngữ pháp",D205="Đọc",D205="Nghe",D205="Từ và kanji",D205="Giao tiếp"),OR(F205="Mới",F205="Ôn lại",F205="Hỗ trợ",F205="Luyện"),ISNUMBER(G205),ISNUMBER(H205),ISNUMBER(I205),ISNUMBER(J205),G205&gt;=0,H205&gt;=G205,I205&gt;=H205,I205&gt;0,J205&gt;=0,MOD(G205,1)=0,MOD(H205,1)=0,MOD(I205,1)=0,COUNTIFS($A$8:A205,A205,$D$8:D205,D205,$F$8:F205,F205)=1),"Hợp lệ","Kiểm tra/trùng"))</x:f>
      </x:c>
    </x:row>
    <x:row r="206" ht="27" customHeight="1">
      <x:c r="A206" s="83"/>
      <x:c r="B206" s="83"/>
      <x:c r="C206" s="83"/>
      <x:c r="D206" s="83"/>
      <x:c r="E206" s="83"/>
      <x:c r="F206" s="83"/>
      <x:c r="G206" s="83"/>
      <x:c r="H206" s="83"/>
      <x:c r="I206" s="83"/>
      <x:c r="J206" s="83"/>
      <x:c r="K206" s="83"/>
      <x:c r="L206" s="83"/>
      <x:c r="M206" s="75" t="str">
        <x:f>IF(COUNTA(A206:L206)=0,"",IF(AND(A206&lt;&gt;"",B206&lt;&gt;"",C206="N4",OR(D206="Ngữ pháp",D206="Đọc",D206="Nghe",D206="Từ và kanji",D206="Giao tiếp"),OR(F206="Mới",F206="Ôn lại",F206="Hỗ trợ",F206="Luyện"),ISNUMBER(G206),ISNUMBER(H206),ISNUMBER(I206),ISNUMBER(J206),G206&gt;=0,H206&gt;=G206,I206&gt;=H206,I206&gt;0,J206&gt;=0,MOD(G206,1)=0,MOD(H206,1)=0,MOD(I206,1)=0,COUNTIFS($A$8:A206,A206,$D$8:D206,D206,$F$8:F206,F206)=1),"Hợp lệ","Kiểm tra/trùng"))</x:f>
      </x:c>
    </x:row>
    <x:row r="207" ht="27" customHeight="1">
      <x:c r="A207" s="83"/>
      <x:c r="B207" s="83"/>
      <x:c r="C207" s="83"/>
      <x:c r="D207" s="83"/>
      <x:c r="E207" s="83"/>
      <x:c r="F207" s="83"/>
      <x:c r="G207" s="83"/>
      <x:c r="H207" s="83"/>
      <x:c r="I207" s="83"/>
      <x:c r="J207" s="83"/>
      <x:c r="K207" s="83"/>
      <x:c r="L207" s="83"/>
      <x:c r="M207" s="75" t="str">
        <x:f>IF(COUNTA(A207:L207)=0,"",IF(AND(A207&lt;&gt;"",B207&lt;&gt;"",C207="N4",OR(D207="Ngữ pháp",D207="Đọc",D207="Nghe",D207="Từ và kanji",D207="Giao tiếp"),OR(F207="Mới",F207="Ôn lại",F207="Hỗ trợ",F207="Luyện"),ISNUMBER(G207),ISNUMBER(H207),ISNUMBER(I207),ISNUMBER(J207),G207&gt;=0,H207&gt;=G207,I207&gt;=H207,I207&gt;0,J207&gt;=0,MOD(G207,1)=0,MOD(H207,1)=0,MOD(I207,1)=0,COUNTIFS($A$8:A207,A207,$D$8:D207,D207,$F$8:F207,F207)=1),"Hợp lệ","Kiểm tra/trùng"))</x:f>
      </x:c>
    </x:row>
    <x:row r="208" ht="27" customHeight="1">
      <x:c r="A208" s="83"/>
      <x:c r="B208" s="83"/>
      <x:c r="C208" s="83"/>
      <x:c r="D208" s="83"/>
      <x:c r="E208" s="83"/>
      <x:c r="F208" s="83"/>
      <x:c r="G208" s="83"/>
      <x:c r="H208" s="83"/>
      <x:c r="I208" s="83"/>
      <x:c r="J208" s="83"/>
      <x:c r="K208" s="83"/>
      <x:c r="L208" s="83"/>
      <x:c r="M208" s="75" t="str">
        <x:f>IF(COUNTA(A208:L208)=0,"",IF(AND(A208&lt;&gt;"",B208&lt;&gt;"",C208="N4",OR(D208="Ngữ pháp",D208="Đọc",D208="Nghe",D208="Từ và kanji",D208="Giao tiếp"),OR(F208="Mới",F208="Ôn lại",F208="Hỗ trợ",F208="Luyện"),ISNUMBER(G208),ISNUMBER(H208),ISNUMBER(I208),ISNUMBER(J208),G208&gt;=0,H208&gt;=G208,I208&gt;=H208,I208&gt;0,J208&gt;=0,MOD(G208,1)=0,MOD(H208,1)=0,MOD(I208,1)=0,COUNTIFS($A$8:A208,A208,$D$8:D208,D208,$F$8:F208,F208)=1),"Hợp lệ","Kiểm tra/trùng"))</x:f>
      </x:c>
    </x:row>
    <x:row r="209" ht="27" customHeight="1">
      <x:c r="A209" s="83"/>
      <x:c r="B209" s="83"/>
      <x:c r="C209" s="83"/>
      <x:c r="D209" s="83"/>
      <x:c r="E209" s="83"/>
      <x:c r="F209" s="83"/>
      <x:c r="G209" s="83"/>
      <x:c r="H209" s="83"/>
      <x:c r="I209" s="83"/>
      <x:c r="J209" s="83"/>
      <x:c r="K209" s="83"/>
      <x:c r="L209" s="83"/>
      <x:c r="M209" s="75" t="str">
        <x:f>IF(COUNTA(A209:L209)=0,"",IF(AND(A209&lt;&gt;"",B209&lt;&gt;"",C209="N4",OR(D209="Ngữ pháp",D209="Đọc",D209="Nghe",D209="Từ và kanji",D209="Giao tiếp"),OR(F209="Mới",F209="Ôn lại",F209="Hỗ trợ",F209="Luyện"),ISNUMBER(G209),ISNUMBER(H209),ISNUMBER(I209),ISNUMBER(J209),G209&gt;=0,H209&gt;=G209,I209&gt;=H209,I209&gt;0,J209&gt;=0,MOD(G209,1)=0,MOD(H209,1)=0,MOD(I209,1)=0,COUNTIFS($A$8:A209,A209,$D$8:D209,D209,$F$8:F209,F209)=1),"Hợp lệ","Kiểm tra/trùng"))</x:f>
      </x:c>
    </x:row>
    <x:row r="210" ht="27" customHeight="1">
      <x:c r="A210" s="83"/>
      <x:c r="B210" s="83"/>
      <x:c r="C210" s="83"/>
      <x:c r="D210" s="83"/>
      <x:c r="E210" s="83"/>
      <x:c r="F210" s="83"/>
      <x:c r="G210" s="83"/>
      <x:c r="H210" s="83"/>
      <x:c r="I210" s="83"/>
      <x:c r="J210" s="83"/>
      <x:c r="K210" s="83"/>
      <x:c r="L210" s="83"/>
      <x:c r="M210" s="75" t="str">
        <x:f>IF(COUNTA(A210:L210)=0,"",IF(AND(A210&lt;&gt;"",B210&lt;&gt;"",C210="N4",OR(D210="Ngữ pháp",D210="Đọc",D210="Nghe",D210="Từ và kanji",D210="Giao tiếp"),OR(F210="Mới",F210="Ôn lại",F210="Hỗ trợ",F210="Luyện"),ISNUMBER(G210),ISNUMBER(H210),ISNUMBER(I210),ISNUMBER(J210),G210&gt;=0,H210&gt;=G210,I210&gt;=H210,I210&gt;0,J210&gt;=0,MOD(G210,1)=0,MOD(H210,1)=0,MOD(I210,1)=0,COUNTIFS($A$8:A210,A210,$D$8:D210,D210,$F$8:F210,F210)=1),"Hợp lệ","Kiểm tra/trùng"))</x:f>
      </x:c>
    </x:row>
    <x:row r="211" ht="27" customHeight="1">
      <x:c r="A211" s="83"/>
      <x:c r="B211" s="83"/>
      <x:c r="C211" s="83"/>
      <x:c r="D211" s="83"/>
      <x:c r="E211" s="83"/>
      <x:c r="F211" s="83"/>
      <x:c r="G211" s="83"/>
      <x:c r="H211" s="83"/>
      <x:c r="I211" s="83"/>
      <x:c r="J211" s="83"/>
      <x:c r="K211" s="83"/>
      <x:c r="L211" s="83"/>
      <x:c r="M211" s="75" t="str">
        <x:f>IF(COUNTA(A211:L211)=0,"",IF(AND(A211&lt;&gt;"",B211&lt;&gt;"",C211="N4",OR(D211="Ngữ pháp",D211="Đọc",D211="Nghe",D211="Từ và kanji",D211="Giao tiếp"),OR(F211="Mới",F211="Ôn lại",F211="Hỗ trợ",F211="Luyện"),ISNUMBER(G211),ISNUMBER(H211),ISNUMBER(I211),ISNUMBER(J211),G211&gt;=0,H211&gt;=G211,I211&gt;=H211,I211&gt;0,J211&gt;=0,MOD(G211,1)=0,MOD(H211,1)=0,MOD(I211,1)=0,COUNTIFS($A$8:A211,A211,$D$8:D211,D211,$F$8:F211,F211)=1),"Hợp lệ","Kiểm tra/trùng"))</x:f>
      </x:c>
    </x:row>
    <x:row r="212" ht="27" customHeight="1">
      <x:c r="A212" s="83"/>
      <x:c r="B212" s="83"/>
      <x:c r="C212" s="83"/>
      <x:c r="D212" s="83"/>
      <x:c r="E212" s="83"/>
      <x:c r="F212" s="83"/>
      <x:c r="G212" s="83"/>
      <x:c r="H212" s="83"/>
      <x:c r="I212" s="83"/>
      <x:c r="J212" s="83"/>
      <x:c r="K212" s="83"/>
      <x:c r="L212" s="83"/>
      <x:c r="M212" s="75" t="str">
        <x:f>IF(COUNTA(A212:L212)=0,"",IF(AND(A212&lt;&gt;"",B212&lt;&gt;"",C212="N4",OR(D212="Ngữ pháp",D212="Đọc",D212="Nghe",D212="Từ và kanji",D212="Giao tiếp"),OR(F212="Mới",F212="Ôn lại",F212="Hỗ trợ",F212="Luyện"),ISNUMBER(G212),ISNUMBER(H212),ISNUMBER(I212),ISNUMBER(J212),G212&gt;=0,H212&gt;=G212,I212&gt;=H212,I212&gt;0,J212&gt;=0,MOD(G212,1)=0,MOD(H212,1)=0,MOD(I212,1)=0,COUNTIFS($A$8:A212,A212,$D$8:D212,D212,$F$8:F212,F212)=1),"Hợp lệ","Kiểm tra/trùng"))</x:f>
      </x:c>
    </x:row>
    <x:row r="213" ht="27" customHeight="1">
      <x:c r="A213" s="83"/>
      <x:c r="B213" s="83"/>
      <x:c r="C213" s="83"/>
      <x:c r="D213" s="83"/>
      <x:c r="E213" s="83"/>
      <x:c r="F213" s="83"/>
      <x:c r="G213" s="83"/>
      <x:c r="H213" s="83"/>
      <x:c r="I213" s="83"/>
      <x:c r="J213" s="83"/>
      <x:c r="K213" s="83"/>
      <x:c r="L213" s="83"/>
      <x:c r="M213" s="75" t="str">
        <x:f>IF(COUNTA(A213:L213)=0,"",IF(AND(A213&lt;&gt;"",B213&lt;&gt;"",C213="N4",OR(D213="Ngữ pháp",D213="Đọc",D213="Nghe",D213="Từ và kanji",D213="Giao tiếp"),OR(F213="Mới",F213="Ôn lại",F213="Hỗ trợ",F213="Luyện"),ISNUMBER(G213),ISNUMBER(H213),ISNUMBER(I213),ISNUMBER(J213),G213&gt;=0,H213&gt;=G213,I213&gt;=H213,I213&gt;0,J213&gt;=0,MOD(G213,1)=0,MOD(H213,1)=0,MOD(I213,1)=0,COUNTIFS($A$8:A213,A213,$D$8:D213,D213,$F$8:F213,F213)=1),"Hợp lệ","Kiểm tra/trùng"))</x:f>
      </x:c>
    </x:row>
    <x:row r="214" ht="27" customHeight="1">
      <x:c r="A214" s="83"/>
      <x:c r="B214" s="83"/>
      <x:c r="C214" s="83"/>
      <x:c r="D214" s="83"/>
      <x:c r="E214" s="83"/>
      <x:c r="F214" s="83"/>
      <x:c r="G214" s="83"/>
      <x:c r="H214" s="83"/>
      <x:c r="I214" s="83"/>
      <x:c r="J214" s="83"/>
      <x:c r="K214" s="83"/>
      <x:c r="L214" s="83"/>
      <x:c r="M214" s="75" t="str">
        <x:f>IF(COUNTA(A214:L214)=0,"",IF(AND(A214&lt;&gt;"",B214&lt;&gt;"",C214="N4",OR(D214="Ngữ pháp",D214="Đọc",D214="Nghe",D214="Từ và kanji",D214="Giao tiếp"),OR(F214="Mới",F214="Ôn lại",F214="Hỗ trợ",F214="Luyện"),ISNUMBER(G214),ISNUMBER(H214),ISNUMBER(I214),ISNUMBER(J214),G214&gt;=0,H214&gt;=G214,I214&gt;=H214,I214&gt;0,J214&gt;=0,MOD(G214,1)=0,MOD(H214,1)=0,MOD(I214,1)=0,COUNTIFS($A$8:A214,A214,$D$8:D214,D214,$F$8:F214,F214)=1),"Hợp lệ","Kiểm tra/trùng"))</x:f>
      </x:c>
    </x:row>
    <x:row r="215" ht="27" customHeight="1">
      <x:c r="A215" s="83"/>
      <x:c r="B215" s="83"/>
      <x:c r="C215" s="83"/>
      <x:c r="D215" s="83"/>
      <x:c r="E215" s="83"/>
      <x:c r="F215" s="83"/>
      <x:c r="G215" s="83"/>
      <x:c r="H215" s="83"/>
      <x:c r="I215" s="83"/>
      <x:c r="J215" s="83"/>
      <x:c r="K215" s="83"/>
      <x:c r="L215" s="83"/>
      <x:c r="M215" s="75" t="str">
        <x:f>IF(COUNTA(A215:L215)=0,"",IF(AND(A215&lt;&gt;"",B215&lt;&gt;"",C215="N4",OR(D215="Ngữ pháp",D215="Đọc",D215="Nghe",D215="Từ và kanji",D215="Giao tiếp"),OR(F215="Mới",F215="Ôn lại",F215="Hỗ trợ",F215="Luyện"),ISNUMBER(G215),ISNUMBER(H215),ISNUMBER(I215),ISNUMBER(J215),G215&gt;=0,H215&gt;=G215,I215&gt;=H215,I215&gt;0,J215&gt;=0,MOD(G215,1)=0,MOD(H215,1)=0,MOD(I215,1)=0,COUNTIFS($A$8:A215,A215,$D$8:D215,D215,$F$8:F215,F215)=1),"Hợp lệ","Kiểm tra/trùng"))</x:f>
      </x:c>
    </x:row>
    <x:row r="216" ht="27" customHeight="1">
      <x:c r="A216" s="83"/>
      <x:c r="B216" s="83"/>
      <x:c r="C216" s="83"/>
      <x:c r="D216" s="83"/>
      <x:c r="E216" s="83"/>
      <x:c r="F216" s="83"/>
      <x:c r="G216" s="83"/>
      <x:c r="H216" s="83"/>
      <x:c r="I216" s="83"/>
      <x:c r="J216" s="83"/>
      <x:c r="K216" s="83"/>
      <x:c r="L216" s="83"/>
      <x:c r="M216" s="75" t="str">
        <x:f>IF(COUNTA(A216:L216)=0,"",IF(AND(A216&lt;&gt;"",B216&lt;&gt;"",C216="N4",OR(D216="Ngữ pháp",D216="Đọc",D216="Nghe",D216="Từ và kanji",D216="Giao tiếp"),OR(F216="Mới",F216="Ôn lại",F216="Hỗ trợ",F216="Luyện"),ISNUMBER(G216),ISNUMBER(H216),ISNUMBER(I216),ISNUMBER(J216),G216&gt;=0,H216&gt;=G216,I216&gt;=H216,I216&gt;0,J216&gt;=0,MOD(G216,1)=0,MOD(H216,1)=0,MOD(I216,1)=0,COUNTIFS($A$8:A216,A216,$D$8:D216,D216,$F$8:F216,F216)=1),"Hợp lệ","Kiểm tra/trùng"))</x:f>
      </x:c>
    </x:row>
    <x:row r="217" ht="27" customHeight="1">
      <x:c r="A217" s="83"/>
      <x:c r="B217" s="83"/>
      <x:c r="C217" s="83"/>
      <x:c r="D217" s="83"/>
      <x:c r="E217" s="83"/>
      <x:c r="F217" s="83"/>
      <x:c r="G217" s="83"/>
      <x:c r="H217" s="83"/>
      <x:c r="I217" s="83"/>
      <x:c r="J217" s="83"/>
      <x:c r="K217" s="83"/>
      <x:c r="L217" s="83"/>
      <x:c r="M217" s="75" t="str">
        <x:f>IF(COUNTA(A217:L217)=0,"",IF(AND(A217&lt;&gt;"",B217&lt;&gt;"",C217="N4",OR(D217="Ngữ pháp",D217="Đọc",D217="Nghe",D217="Từ và kanji",D217="Giao tiếp"),OR(F217="Mới",F217="Ôn lại",F217="Hỗ trợ",F217="Luyện"),ISNUMBER(G217),ISNUMBER(H217),ISNUMBER(I217),ISNUMBER(J217),G217&gt;=0,H217&gt;=G217,I217&gt;=H217,I217&gt;0,J217&gt;=0,MOD(G217,1)=0,MOD(H217,1)=0,MOD(I217,1)=0,COUNTIFS($A$8:A217,A217,$D$8:D217,D217,$F$8:F217,F217)=1),"Hợp lệ","Kiểm tra/trùng"))</x:f>
      </x:c>
    </x:row>
    <x:row r="218" ht="27" customHeight="1">
      <x:c r="A218" s="83"/>
      <x:c r="B218" s="83"/>
      <x:c r="C218" s="83"/>
      <x:c r="D218" s="83"/>
      <x:c r="E218" s="83"/>
      <x:c r="F218" s="83"/>
      <x:c r="G218" s="83"/>
      <x:c r="H218" s="83"/>
      <x:c r="I218" s="83"/>
      <x:c r="J218" s="83"/>
      <x:c r="K218" s="83"/>
      <x:c r="L218" s="83"/>
      <x:c r="M218" s="75" t="str">
        <x:f>IF(COUNTA(A218:L218)=0,"",IF(AND(A218&lt;&gt;"",B218&lt;&gt;"",C218="N4",OR(D218="Ngữ pháp",D218="Đọc",D218="Nghe",D218="Từ và kanji",D218="Giao tiếp"),OR(F218="Mới",F218="Ôn lại",F218="Hỗ trợ",F218="Luyện"),ISNUMBER(G218),ISNUMBER(H218),ISNUMBER(I218),ISNUMBER(J218),G218&gt;=0,H218&gt;=G218,I218&gt;=H218,I218&gt;0,J218&gt;=0,MOD(G218,1)=0,MOD(H218,1)=0,MOD(I218,1)=0,COUNTIFS($A$8:A218,A218,$D$8:D218,D218,$F$8:F218,F218)=1),"Hợp lệ","Kiểm tra/trùng"))</x:f>
      </x:c>
    </x:row>
    <x:row r="219" ht="27" customHeight="1">
      <x:c r="A219" s="83"/>
      <x:c r="B219" s="83"/>
      <x:c r="C219" s="83"/>
      <x:c r="D219" s="83"/>
      <x:c r="E219" s="83"/>
      <x:c r="F219" s="83"/>
      <x:c r="G219" s="83"/>
      <x:c r="H219" s="83"/>
      <x:c r="I219" s="83"/>
      <x:c r="J219" s="83"/>
      <x:c r="K219" s="83"/>
      <x:c r="L219" s="83"/>
      <x:c r="M219" s="75" t="str">
        <x:f>IF(COUNTA(A219:L219)=0,"",IF(AND(A219&lt;&gt;"",B219&lt;&gt;"",C219="N4",OR(D219="Ngữ pháp",D219="Đọc",D219="Nghe",D219="Từ và kanji",D219="Giao tiếp"),OR(F219="Mới",F219="Ôn lại",F219="Hỗ trợ",F219="Luyện"),ISNUMBER(G219),ISNUMBER(H219),ISNUMBER(I219),ISNUMBER(J219),G219&gt;=0,H219&gt;=G219,I219&gt;=H219,I219&gt;0,J219&gt;=0,MOD(G219,1)=0,MOD(H219,1)=0,MOD(I219,1)=0,COUNTIFS($A$8:A219,A219,$D$8:D219,D219,$F$8:F219,F219)=1),"Hợp lệ","Kiểm tra/trùng"))</x:f>
      </x:c>
    </x:row>
    <x:row r="220" ht="27" customHeight="1">
      <x:c r="A220" s="83"/>
      <x:c r="B220" s="83"/>
      <x:c r="C220" s="83"/>
      <x:c r="D220" s="83"/>
      <x:c r="E220" s="83"/>
      <x:c r="F220" s="83"/>
      <x:c r="G220" s="83"/>
      <x:c r="H220" s="83"/>
      <x:c r="I220" s="83"/>
      <x:c r="J220" s="83"/>
      <x:c r="K220" s="83"/>
      <x:c r="L220" s="83"/>
      <x:c r="M220" s="75" t="str">
        <x:f>IF(COUNTA(A220:L220)=0,"",IF(AND(A220&lt;&gt;"",B220&lt;&gt;"",C220="N4",OR(D220="Ngữ pháp",D220="Đọc",D220="Nghe",D220="Từ và kanji",D220="Giao tiếp"),OR(F220="Mới",F220="Ôn lại",F220="Hỗ trợ",F220="Luyện"),ISNUMBER(G220),ISNUMBER(H220),ISNUMBER(I220),ISNUMBER(J220),G220&gt;=0,H220&gt;=G220,I220&gt;=H220,I220&gt;0,J220&gt;=0,MOD(G220,1)=0,MOD(H220,1)=0,MOD(I220,1)=0,COUNTIFS($A$8:A220,A220,$D$8:D220,D220,$F$8:F220,F220)=1),"Hợp lệ","Kiểm tra/trùng"))</x:f>
      </x:c>
    </x:row>
    <x:row r="221" ht="27" customHeight="1">
      <x:c r="A221" s="83"/>
      <x:c r="B221" s="83"/>
      <x:c r="C221" s="83"/>
      <x:c r="D221" s="83"/>
      <x:c r="E221" s="83"/>
      <x:c r="F221" s="83"/>
      <x:c r="G221" s="83"/>
      <x:c r="H221" s="83"/>
      <x:c r="I221" s="83"/>
      <x:c r="J221" s="83"/>
      <x:c r="K221" s="83"/>
      <x:c r="L221" s="83"/>
      <x:c r="M221" s="75" t="str">
        <x:f>IF(COUNTA(A221:L221)=0,"",IF(AND(A221&lt;&gt;"",B221&lt;&gt;"",C221="N4",OR(D221="Ngữ pháp",D221="Đọc",D221="Nghe",D221="Từ và kanji",D221="Giao tiếp"),OR(F221="Mới",F221="Ôn lại",F221="Hỗ trợ",F221="Luyện"),ISNUMBER(G221),ISNUMBER(H221),ISNUMBER(I221),ISNUMBER(J221),G221&gt;=0,H221&gt;=G221,I221&gt;=H221,I221&gt;0,J221&gt;=0,MOD(G221,1)=0,MOD(H221,1)=0,MOD(I221,1)=0,COUNTIFS($A$8:A221,A221,$D$8:D221,D221,$F$8:F221,F221)=1),"Hợp lệ","Kiểm tra/trùng"))</x:f>
      </x:c>
    </x:row>
    <x:row r="222" ht="27" customHeight="1">
      <x:c r="A222" s="83"/>
      <x:c r="B222" s="83"/>
      <x:c r="C222" s="83"/>
      <x:c r="D222" s="83"/>
      <x:c r="E222" s="83"/>
      <x:c r="F222" s="83"/>
      <x:c r="G222" s="83"/>
      <x:c r="H222" s="83"/>
      <x:c r="I222" s="83"/>
      <x:c r="J222" s="83"/>
      <x:c r="K222" s="83"/>
      <x:c r="L222" s="83"/>
      <x:c r="M222" s="75" t="str">
        <x:f>IF(COUNTA(A222:L222)=0,"",IF(AND(A222&lt;&gt;"",B222&lt;&gt;"",C222="N4",OR(D222="Ngữ pháp",D222="Đọc",D222="Nghe",D222="Từ và kanji",D222="Giao tiếp"),OR(F222="Mới",F222="Ôn lại",F222="Hỗ trợ",F222="Luyện"),ISNUMBER(G222),ISNUMBER(H222),ISNUMBER(I222),ISNUMBER(J222),G222&gt;=0,H222&gt;=G222,I222&gt;=H222,I222&gt;0,J222&gt;=0,MOD(G222,1)=0,MOD(H222,1)=0,MOD(I222,1)=0,COUNTIFS($A$8:A222,A222,$D$8:D222,D222,$F$8:F222,F222)=1),"Hợp lệ","Kiểm tra/trùng"))</x:f>
      </x:c>
    </x:row>
    <x:row r="223" ht="27" customHeight="1">
      <x:c r="A223" s="83"/>
      <x:c r="B223" s="83"/>
      <x:c r="C223" s="83"/>
      <x:c r="D223" s="83"/>
      <x:c r="E223" s="83"/>
      <x:c r="F223" s="83"/>
      <x:c r="G223" s="83"/>
      <x:c r="H223" s="83"/>
      <x:c r="I223" s="83"/>
      <x:c r="J223" s="83"/>
      <x:c r="K223" s="83"/>
      <x:c r="L223" s="83"/>
      <x:c r="M223" s="75" t="str">
        <x:f>IF(COUNTA(A223:L223)=0,"",IF(AND(A223&lt;&gt;"",B223&lt;&gt;"",C223="N4",OR(D223="Ngữ pháp",D223="Đọc",D223="Nghe",D223="Từ và kanji",D223="Giao tiếp"),OR(F223="Mới",F223="Ôn lại",F223="Hỗ trợ",F223="Luyện"),ISNUMBER(G223),ISNUMBER(H223),ISNUMBER(I223),ISNUMBER(J223),G223&gt;=0,H223&gt;=G223,I223&gt;=H223,I223&gt;0,J223&gt;=0,MOD(G223,1)=0,MOD(H223,1)=0,MOD(I223,1)=0,COUNTIFS($A$8:A223,A223,$D$8:D223,D223,$F$8:F223,F223)=1),"Hợp lệ","Kiểm tra/trùng"))</x:f>
      </x:c>
    </x:row>
    <x:row r="224" ht="27" customHeight="1">
      <x:c r="A224" s="83"/>
      <x:c r="B224" s="83"/>
      <x:c r="C224" s="83"/>
      <x:c r="D224" s="83"/>
      <x:c r="E224" s="83"/>
      <x:c r="F224" s="83"/>
      <x:c r="G224" s="83"/>
      <x:c r="H224" s="83"/>
      <x:c r="I224" s="83"/>
      <x:c r="J224" s="83"/>
      <x:c r="K224" s="83"/>
      <x:c r="L224" s="83"/>
      <x:c r="M224" s="75" t="str">
        <x:f>IF(COUNTA(A224:L224)=0,"",IF(AND(A224&lt;&gt;"",B224&lt;&gt;"",C224="N4",OR(D224="Ngữ pháp",D224="Đọc",D224="Nghe",D224="Từ và kanji",D224="Giao tiếp"),OR(F224="Mới",F224="Ôn lại",F224="Hỗ trợ",F224="Luyện"),ISNUMBER(G224),ISNUMBER(H224),ISNUMBER(I224),ISNUMBER(J224),G224&gt;=0,H224&gt;=G224,I224&gt;=H224,I224&gt;0,J224&gt;=0,MOD(G224,1)=0,MOD(H224,1)=0,MOD(I224,1)=0,COUNTIFS($A$8:A224,A224,$D$8:D224,D224,$F$8:F224,F224)=1),"Hợp lệ","Kiểm tra/trùng"))</x:f>
      </x:c>
    </x:row>
    <x:row r="225" ht="27" customHeight="1">
      <x:c r="A225" s="83"/>
      <x:c r="B225" s="83"/>
      <x:c r="C225" s="83"/>
      <x:c r="D225" s="83"/>
      <x:c r="E225" s="83"/>
      <x:c r="F225" s="83"/>
      <x:c r="G225" s="83"/>
      <x:c r="H225" s="83"/>
      <x:c r="I225" s="83"/>
      <x:c r="J225" s="83"/>
      <x:c r="K225" s="83"/>
      <x:c r="L225" s="83"/>
      <x:c r="M225" s="75" t="str">
        <x:f>IF(COUNTA(A225:L225)=0,"",IF(AND(A225&lt;&gt;"",B225&lt;&gt;"",C225="N4",OR(D225="Ngữ pháp",D225="Đọc",D225="Nghe",D225="Từ và kanji",D225="Giao tiếp"),OR(F225="Mới",F225="Ôn lại",F225="Hỗ trợ",F225="Luyện"),ISNUMBER(G225),ISNUMBER(H225),ISNUMBER(I225),ISNUMBER(J225),G225&gt;=0,H225&gt;=G225,I225&gt;=H225,I225&gt;0,J225&gt;=0,MOD(G225,1)=0,MOD(H225,1)=0,MOD(I225,1)=0,COUNTIFS($A$8:A225,A225,$D$8:D225,D225,$F$8:F225,F225)=1),"Hợp lệ","Kiểm tra/trùng"))</x:f>
      </x:c>
    </x:row>
    <x:row r="226" ht="27" customHeight="1">
      <x:c r="A226" s="83"/>
      <x:c r="B226" s="83"/>
      <x:c r="C226" s="83"/>
      <x:c r="D226" s="83"/>
      <x:c r="E226" s="83"/>
      <x:c r="F226" s="83"/>
      <x:c r="G226" s="83"/>
      <x:c r="H226" s="83"/>
      <x:c r="I226" s="83"/>
      <x:c r="J226" s="83"/>
      <x:c r="K226" s="83"/>
      <x:c r="L226" s="83"/>
      <x:c r="M226" s="75" t="str">
        <x:f>IF(COUNTA(A226:L226)=0,"",IF(AND(A226&lt;&gt;"",B226&lt;&gt;"",C226="N4",OR(D226="Ngữ pháp",D226="Đọc",D226="Nghe",D226="Từ và kanji",D226="Giao tiếp"),OR(F226="Mới",F226="Ôn lại",F226="Hỗ trợ",F226="Luyện"),ISNUMBER(G226),ISNUMBER(H226),ISNUMBER(I226),ISNUMBER(J226),G226&gt;=0,H226&gt;=G226,I226&gt;=H226,I226&gt;0,J226&gt;=0,MOD(G226,1)=0,MOD(H226,1)=0,MOD(I226,1)=0,COUNTIFS($A$8:A226,A226,$D$8:D226,D226,$F$8:F226,F226)=1),"Hợp lệ","Kiểm tra/trùng"))</x:f>
      </x:c>
    </x:row>
    <x:row r="227" ht="27" customHeight="1">
      <x:c r="A227" s="83"/>
      <x:c r="B227" s="83"/>
      <x:c r="C227" s="83"/>
      <x:c r="D227" s="83"/>
      <x:c r="E227" s="83"/>
      <x:c r="F227" s="83"/>
      <x:c r="G227" s="83"/>
      <x:c r="H227" s="83"/>
      <x:c r="I227" s="83"/>
      <x:c r="J227" s="83"/>
      <x:c r="K227" s="83"/>
      <x:c r="L227" s="83"/>
      <x:c r="M227" s="75" t="str">
        <x:f>IF(COUNTA(A227:L227)=0,"",IF(AND(A227&lt;&gt;"",B227&lt;&gt;"",C227="N4",OR(D227="Ngữ pháp",D227="Đọc",D227="Nghe",D227="Từ và kanji",D227="Giao tiếp"),OR(F227="Mới",F227="Ôn lại",F227="Hỗ trợ",F227="Luyện"),ISNUMBER(G227),ISNUMBER(H227),ISNUMBER(I227),ISNUMBER(J227),G227&gt;=0,H227&gt;=G227,I227&gt;=H227,I227&gt;0,J227&gt;=0,MOD(G227,1)=0,MOD(H227,1)=0,MOD(I227,1)=0,COUNTIFS($A$8:A227,A227,$D$8:D227,D227,$F$8:F227,F227)=1),"Hợp lệ","Kiểm tra/trùng"))</x:f>
      </x:c>
    </x:row>
    <x:row r="228" ht="27" customHeight="1">
      <x:c r="A228" s="83"/>
      <x:c r="B228" s="83"/>
      <x:c r="C228" s="83"/>
      <x:c r="D228" s="83"/>
      <x:c r="E228" s="83"/>
      <x:c r="F228" s="83"/>
      <x:c r="G228" s="83"/>
      <x:c r="H228" s="83"/>
      <x:c r="I228" s="83"/>
      <x:c r="J228" s="83"/>
      <x:c r="K228" s="83"/>
      <x:c r="L228" s="83"/>
      <x:c r="M228" s="75" t="str">
        <x:f>IF(COUNTA(A228:L228)=0,"",IF(AND(A228&lt;&gt;"",B228&lt;&gt;"",C228="N4",OR(D228="Ngữ pháp",D228="Đọc",D228="Nghe",D228="Từ và kanji",D228="Giao tiếp"),OR(F228="Mới",F228="Ôn lại",F228="Hỗ trợ",F228="Luyện"),ISNUMBER(G228),ISNUMBER(H228),ISNUMBER(I228),ISNUMBER(J228),G228&gt;=0,H228&gt;=G228,I228&gt;=H228,I228&gt;0,J228&gt;=0,MOD(G228,1)=0,MOD(H228,1)=0,MOD(I228,1)=0,COUNTIFS($A$8:A228,A228,$D$8:D228,D228,$F$8:F228,F228)=1),"Hợp lệ","Kiểm tra/trùng"))</x:f>
      </x:c>
    </x:row>
    <x:row r="229" ht="27" customHeight="1">
      <x:c r="A229" s="83"/>
      <x:c r="B229" s="83"/>
      <x:c r="C229" s="83"/>
      <x:c r="D229" s="83"/>
      <x:c r="E229" s="83"/>
      <x:c r="F229" s="83"/>
      <x:c r="G229" s="83"/>
      <x:c r="H229" s="83"/>
      <x:c r="I229" s="83"/>
      <x:c r="J229" s="83"/>
      <x:c r="K229" s="83"/>
      <x:c r="L229" s="83"/>
      <x:c r="M229" s="75" t="str">
        <x:f>IF(COUNTA(A229:L229)=0,"",IF(AND(A229&lt;&gt;"",B229&lt;&gt;"",C229="N4",OR(D229="Ngữ pháp",D229="Đọc",D229="Nghe",D229="Từ và kanji",D229="Giao tiếp"),OR(F229="Mới",F229="Ôn lại",F229="Hỗ trợ",F229="Luyện"),ISNUMBER(G229),ISNUMBER(H229),ISNUMBER(I229),ISNUMBER(J229),G229&gt;=0,H229&gt;=G229,I229&gt;=H229,I229&gt;0,J229&gt;=0,MOD(G229,1)=0,MOD(H229,1)=0,MOD(I229,1)=0,COUNTIFS($A$8:A229,A229,$D$8:D229,D229,$F$8:F229,F229)=1),"Hợp lệ","Kiểm tra/trùng"))</x:f>
      </x:c>
    </x:row>
    <x:row r="230" ht="27" customHeight="1">
      <x:c r="A230" s="83"/>
      <x:c r="B230" s="83"/>
      <x:c r="C230" s="83"/>
      <x:c r="D230" s="83"/>
      <x:c r="E230" s="83"/>
      <x:c r="F230" s="83"/>
      <x:c r="G230" s="83"/>
      <x:c r="H230" s="83"/>
      <x:c r="I230" s="83"/>
      <x:c r="J230" s="83"/>
      <x:c r="K230" s="83"/>
      <x:c r="L230" s="83"/>
      <x:c r="M230" s="75" t="str">
        <x:f>IF(COUNTA(A230:L230)=0,"",IF(AND(A230&lt;&gt;"",B230&lt;&gt;"",C230="N4",OR(D230="Ngữ pháp",D230="Đọc",D230="Nghe",D230="Từ và kanji",D230="Giao tiếp"),OR(F230="Mới",F230="Ôn lại",F230="Hỗ trợ",F230="Luyện"),ISNUMBER(G230),ISNUMBER(H230),ISNUMBER(I230),ISNUMBER(J230),G230&gt;=0,H230&gt;=G230,I230&gt;=H230,I230&gt;0,J230&gt;=0,MOD(G230,1)=0,MOD(H230,1)=0,MOD(I230,1)=0,COUNTIFS($A$8:A230,A230,$D$8:D230,D230,$F$8:F230,F230)=1),"Hợp lệ","Kiểm tra/trùng"))</x:f>
      </x:c>
    </x:row>
    <x:row r="231" ht="27" customHeight="1">
      <x:c r="A231" s="83"/>
      <x:c r="B231" s="83"/>
      <x:c r="C231" s="83"/>
      <x:c r="D231" s="83"/>
      <x:c r="E231" s="83"/>
      <x:c r="F231" s="83"/>
      <x:c r="G231" s="83"/>
      <x:c r="H231" s="83"/>
      <x:c r="I231" s="83"/>
      <x:c r="J231" s="83"/>
      <x:c r="K231" s="83"/>
      <x:c r="L231" s="83"/>
      <x:c r="M231" s="75" t="str">
        <x:f>IF(COUNTA(A231:L231)=0,"",IF(AND(A231&lt;&gt;"",B231&lt;&gt;"",C231="N4",OR(D231="Ngữ pháp",D231="Đọc",D231="Nghe",D231="Từ và kanji",D231="Giao tiếp"),OR(F231="Mới",F231="Ôn lại",F231="Hỗ trợ",F231="Luyện"),ISNUMBER(G231),ISNUMBER(H231),ISNUMBER(I231),ISNUMBER(J231),G231&gt;=0,H231&gt;=G231,I231&gt;=H231,I231&gt;0,J231&gt;=0,MOD(G231,1)=0,MOD(H231,1)=0,MOD(I231,1)=0,COUNTIFS($A$8:A231,A231,$D$8:D231,D231,$F$8:F231,F231)=1),"Hợp lệ","Kiểm tra/trùng"))</x:f>
      </x:c>
    </x:row>
    <x:row r="232" ht="27" customHeight="1">
      <x:c r="A232" s="83"/>
      <x:c r="B232" s="83"/>
      <x:c r="C232" s="83"/>
      <x:c r="D232" s="83"/>
      <x:c r="E232" s="83"/>
      <x:c r="F232" s="83"/>
      <x:c r="G232" s="83"/>
      <x:c r="H232" s="83"/>
      <x:c r="I232" s="83"/>
      <x:c r="J232" s="83"/>
      <x:c r="K232" s="83"/>
      <x:c r="L232" s="83"/>
      <x:c r="M232" s="75" t="str">
        <x:f>IF(COUNTA(A232:L232)=0,"",IF(AND(A232&lt;&gt;"",B232&lt;&gt;"",C232="N4",OR(D232="Ngữ pháp",D232="Đọc",D232="Nghe",D232="Từ và kanji",D232="Giao tiếp"),OR(F232="Mới",F232="Ôn lại",F232="Hỗ trợ",F232="Luyện"),ISNUMBER(G232),ISNUMBER(H232),ISNUMBER(I232),ISNUMBER(J232),G232&gt;=0,H232&gt;=G232,I232&gt;=H232,I232&gt;0,J232&gt;=0,MOD(G232,1)=0,MOD(H232,1)=0,MOD(I232,1)=0,COUNTIFS($A$8:A232,A232,$D$8:D232,D232,$F$8:F232,F232)=1),"Hợp lệ","Kiểm tra/trùng"))</x:f>
      </x:c>
    </x:row>
    <x:row r="233" ht="27" customHeight="1">
      <x:c r="A233" s="83"/>
      <x:c r="B233" s="83"/>
      <x:c r="C233" s="83"/>
      <x:c r="D233" s="83"/>
      <x:c r="E233" s="83"/>
      <x:c r="F233" s="83"/>
      <x:c r="G233" s="83"/>
      <x:c r="H233" s="83"/>
      <x:c r="I233" s="83"/>
      <x:c r="J233" s="83"/>
      <x:c r="K233" s="83"/>
      <x:c r="L233" s="83"/>
      <x:c r="M233" s="75" t="str">
        <x:f>IF(COUNTA(A233:L233)=0,"",IF(AND(A233&lt;&gt;"",B233&lt;&gt;"",C233="N4",OR(D233="Ngữ pháp",D233="Đọc",D233="Nghe",D233="Từ và kanji",D233="Giao tiếp"),OR(F233="Mới",F233="Ôn lại",F233="Hỗ trợ",F233="Luyện"),ISNUMBER(G233),ISNUMBER(H233),ISNUMBER(I233),ISNUMBER(J233),G233&gt;=0,H233&gt;=G233,I233&gt;=H233,I233&gt;0,J233&gt;=0,MOD(G233,1)=0,MOD(H233,1)=0,MOD(I233,1)=0,COUNTIFS($A$8:A233,A233,$D$8:D233,D233,$F$8:F233,F233)=1),"Hợp lệ","Kiểm tra/trùng"))</x:f>
      </x:c>
    </x:row>
    <x:row r="234" ht="27" customHeight="1">
      <x:c r="A234" s="83"/>
      <x:c r="B234" s="83"/>
      <x:c r="C234" s="83"/>
      <x:c r="D234" s="83"/>
      <x:c r="E234" s="83"/>
      <x:c r="F234" s="83"/>
      <x:c r="G234" s="83"/>
      <x:c r="H234" s="83"/>
      <x:c r="I234" s="83"/>
      <x:c r="J234" s="83"/>
      <x:c r="K234" s="83"/>
      <x:c r="L234" s="83"/>
      <x:c r="M234" s="75" t="str">
        <x:f>IF(COUNTA(A234:L234)=0,"",IF(AND(A234&lt;&gt;"",B234&lt;&gt;"",C234="N4",OR(D234="Ngữ pháp",D234="Đọc",D234="Nghe",D234="Từ và kanji",D234="Giao tiếp"),OR(F234="Mới",F234="Ôn lại",F234="Hỗ trợ",F234="Luyện"),ISNUMBER(G234),ISNUMBER(H234),ISNUMBER(I234),ISNUMBER(J234),G234&gt;=0,H234&gt;=G234,I234&gt;=H234,I234&gt;0,J234&gt;=0,MOD(G234,1)=0,MOD(H234,1)=0,MOD(I234,1)=0,COUNTIFS($A$8:A234,A234,$D$8:D234,D234,$F$8:F234,F234)=1),"Hợp lệ","Kiểm tra/trùng"))</x:f>
      </x:c>
    </x:row>
    <x:row r="235" ht="27" customHeight="1">
      <x:c r="A235" s="83"/>
      <x:c r="B235" s="83"/>
      <x:c r="C235" s="83"/>
      <x:c r="D235" s="83"/>
      <x:c r="E235" s="83"/>
      <x:c r="F235" s="83"/>
      <x:c r="G235" s="83"/>
      <x:c r="H235" s="83"/>
      <x:c r="I235" s="83"/>
      <x:c r="J235" s="83"/>
      <x:c r="K235" s="83"/>
      <x:c r="L235" s="83"/>
      <x:c r="M235" s="75" t="str">
        <x:f>IF(COUNTA(A235:L235)=0,"",IF(AND(A235&lt;&gt;"",B235&lt;&gt;"",C235="N4",OR(D235="Ngữ pháp",D235="Đọc",D235="Nghe",D235="Từ và kanji",D235="Giao tiếp"),OR(F235="Mới",F235="Ôn lại",F235="Hỗ trợ",F235="Luyện"),ISNUMBER(G235),ISNUMBER(H235),ISNUMBER(I235),ISNUMBER(J235),G235&gt;=0,H235&gt;=G235,I235&gt;=H235,I235&gt;0,J235&gt;=0,MOD(G235,1)=0,MOD(H235,1)=0,MOD(I235,1)=0,COUNTIFS($A$8:A235,A235,$D$8:D235,D235,$F$8:F235,F235)=1),"Hợp lệ","Kiểm tra/trùng"))</x:f>
      </x:c>
    </x:row>
    <x:row r="236" ht="27" customHeight="1">
      <x:c r="A236" s="83"/>
      <x:c r="B236" s="83"/>
      <x:c r="C236" s="83"/>
      <x:c r="D236" s="83"/>
      <x:c r="E236" s="83"/>
      <x:c r="F236" s="83"/>
      <x:c r="G236" s="83"/>
      <x:c r="H236" s="83"/>
      <x:c r="I236" s="83"/>
      <x:c r="J236" s="83"/>
      <x:c r="K236" s="83"/>
      <x:c r="L236" s="83"/>
      <x:c r="M236" s="75" t="str">
        <x:f>IF(COUNTA(A236:L236)=0,"",IF(AND(A236&lt;&gt;"",B236&lt;&gt;"",C236="N4",OR(D236="Ngữ pháp",D236="Đọc",D236="Nghe",D236="Từ và kanji",D236="Giao tiếp"),OR(F236="Mới",F236="Ôn lại",F236="Hỗ trợ",F236="Luyện"),ISNUMBER(G236),ISNUMBER(H236),ISNUMBER(I236),ISNUMBER(J236),G236&gt;=0,H236&gt;=G236,I236&gt;=H236,I236&gt;0,J236&gt;=0,MOD(G236,1)=0,MOD(H236,1)=0,MOD(I236,1)=0,COUNTIFS($A$8:A236,A236,$D$8:D236,D236,$F$8:F236,F236)=1),"Hợp lệ","Kiểm tra/trùng"))</x:f>
      </x:c>
    </x:row>
    <x:row r="237" ht="27" customHeight="1">
      <x:c r="A237" s="83"/>
      <x:c r="B237" s="83"/>
      <x:c r="C237" s="83"/>
      <x:c r="D237" s="83"/>
      <x:c r="E237" s="83"/>
      <x:c r="F237" s="83"/>
      <x:c r="G237" s="83"/>
      <x:c r="H237" s="83"/>
      <x:c r="I237" s="83"/>
      <x:c r="J237" s="83"/>
      <x:c r="K237" s="83"/>
      <x:c r="L237" s="83"/>
      <x:c r="M237" s="75" t="str">
        <x:f>IF(COUNTA(A237:L237)=0,"",IF(AND(A237&lt;&gt;"",B237&lt;&gt;"",C237="N4",OR(D237="Ngữ pháp",D237="Đọc",D237="Nghe",D237="Từ và kanji",D237="Giao tiếp"),OR(F237="Mới",F237="Ôn lại",F237="Hỗ trợ",F237="Luyện"),ISNUMBER(G237),ISNUMBER(H237),ISNUMBER(I237),ISNUMBER(J237),G237&gt;=0,H237&gt;=G237,I237&gt;=H237,I237&gt;0,J237&gt;=0,MOD(G237,1)=0,MOD(H237,1)=0,MOD(I237,1)=0,COUNTIFS($A$8:A237,A237,$D$8:D237,D237,$F$8:F237,F237)=1),"Hợp lệ","Kiểm tra/trùng"))</x:f>
      </x:c>
    </x:row>
    <x:row r="238" ht="27" customHeight="1">
      <x:c r="A238" s="83"/>
      <x:c r="B238" s="83"/>
      <x:c r="C238" s="83"/>
      <x:c r="D238" s="83"/>
      <x:c r="E238" s="83"/>
      <x:c r="F238" s="83"/>
      <x:c r="G238" s="83"/>
      <x:c r="H238" s="83"/>
      <x:c r="I238" s="83"/>
      <x:c r="J238" s="83"/>
      <x:c r="K238" s="83"/>
      <x:c r="L238" s="83"/>
      <x:c r="M238" s="75" t="str">
        <x:f>IF(COUNTA(A238:L238)=0,"",IF(AND(A238&lt;&gt;"",B238&lt;&gt;"",C238="N4",OR(D238="Ngữ pháp",D238="Đọc",D238="Nghe",D238="Từ và kanji",D238="Giao tiếp"),OR(F238="Mới",F238="Ôn lại",F238="Hỗ trợ",F238="Luyện"),ISNUMBER(G238),ISNUMBER(H238),ISNUMBER(I238),ISNUMBER(J238),G238&gt;=0,H238&gt;=G238,I238&gt;=H238,I238&gt;0,J238&gt;=0,MOD(G238,1)=0,MOD(H238,1)=0,MOD(I238,1)=0,COUNTIFS($A$8:A238,A238,$D$8:D238,D238,$F$8:F238,F238)=1),"Hợp lệ","Kiểm tra/trùng"))</x:f>
      </x:c>
    </x:row>
    <x:row r="239" ht="27" customHeight="1">
      <x:c r="A239" s="83"/>
      <x:c r="B239" s="83"/>
      <x:c r="C239" s="83"/>
      <x:c r="D239" s="83"/>
      <x:c r="E239" s="83"/>
      <x:c r="F239" s="83"/>
      <x:c r="G239" s="83"/>
      <x:c r="H239" s="83"/>
      <x:c r="I239" s="83"/>
      <x:c r="J239" s="83"/>
      <x:c r="K239" s="83"/>
      <x:c r="L239" s="83"/>
      <x:c r="M239" s="75" t="str">
        <x:f>IF(COUNTA(A239:L239)=0,"",IF(AND(A239&lt;&gt;"",B239&lt;&gt;"",C239="N4",OR(D239="Ngữ pháp",D239="Đọc",D239="Nghe",D239="Từ và kanji",D239="Giao tiếp"),OR(F239="Mới",F239="Ôn lại",F239="Hỗ trợ",F239="Luyện"),ISNUMBER(G239),ISNUMBER(H239),ISNUMBER(I239),ISNUMBER(J239),G239&gt;=0,H239&gt;=G239,I239&gt;=H239,I239&gt;0,J239&gt;=0,MOD(G239,1)=0,MOD(H239,1)=0,MOD(I239,1)=0,COUNTIFS($A$8:A239,A239,$D$8:D239,D239,$F$8:F239,F239)=1),"Hợp lệ","Kiểm tra/trùng"))</x:f>
      </x:c>
    </x:row>
    <x:row r="240" ht="27" customHeight="1">
      <x:c r="A240" s="83"/>
      <x:c r="B240" s="83"/>
      <x:c r="C240" s="83"/>
      <x:c r="D240" s="83"/>
      <x:c r="E240" s="83"/>
      <x:c r="F240" s="83"/>
      <x:c r="G240" s="83"/>
      <x:c r="H240" s="83"/>
      <x:c r="I240" s="83"/>
      <x:c r="J240" s="83"/>
      <x:c r="K240" s="83"/>
      <x:c r="L240" s="83"/>
      <x:c r="M240" s="75" t="str">
        <x:f>IF(COUNTA(A240:L240)=0,"",IF(AND(A240&lt;&gt;"",B240&lt;&gt;"",C240="N4",OR(D240="Ngữ pháp",D240="Đọc",D240="Nghe",D240="Từ và kanji",D240="Giao tiếp"),OR(F240="Mới",F240="Ôn lại",F240="Hỗ trợ",F240="Luyện"),ISNUMBER(G240),ISNUMBER(H240),ISNUMBER(I240),ISNUMBER(J240),G240&gt;=0,H240&gt;=G240,I240&gt;=H240,I240&gt;0,J240&gt;=0,MOD(G240,1)=0,MOD(H240,1)=0,MOD(I240,1)=0,COUNTIFS($A$8:A240,A240,$D$8:D240,D240,$F$8:F240,F240)=1),"Hợp lệ","Kiểm tra/trùng"))</x:f>
      </x:c>
    </x:row>
    <x:row r="241" ht="27" customHeight="1">
      <x:c r="A241" s="83"/>
      <x:c r="B241" s="83"/>
      <x:c r="C241" s="83"/>
      <x:c r="D241" s="83"/>
      <x:c r="E241" s="83"/>
      <x:c r="F241" s="83"/>
      <x:c r="G241" s="83"/>
      <x:c r="H241" s="83"/>
      <x:c r="I241" s="83"/>
      <x:c r="J241" s="83"/>
      <x:c r="K241" s="83"/>
      <x:c r="L241" s="83"/>
      <x:c r="M241" s="75" t="str">
        <x:f>IF(COUNTA(A241:L241)=0,"",IF(AND(A241&lt;&gt;"",B241&lt;&gt;"",C241="N4",OR(D241="Ngữ pháp",D241="Đọc",D241="Nghe",D241="Từ và kanji",D241="Giao tiếp"),OR(F241="Mới",F241="Ôn lại",F241="Hỗ trợ",F241="Luyện"),ISNUMBER(G241),ISNUMBER(H241),ISNUMBER(I241),ISNUMBER(J241),G241&gt;=0,H241&gt;=G241,I241&gt;=H241,I241&gt;0,J241&gt;=0,MOD(G241,1)=0,MOD(H241,1)=0,MOD(I241,1)=0,COUNTIFS($A$8:A241,A241,$D$8:D241,D241,$F$8:F241,F241)=1),"Hợp lệ","Kiểm tra/trùng"))</x:f>
      </x:c>
    </x:row>
    <x:row r="242" ht="27" customHeight="1">
      <x:c r="A242" s="83"/>
      <x:c r="B242" s="83"/>
      <x:c r="C242" s="83"/>
      <x:c r="D242" s="83"/>
      <x:c r="E242" s="83"/>
      <x:c r="F242" s="83"/>
      <x:c r="G242" s="83"/>
      <x:c r="H242" s="83"/>
      <x:c r="I242" s="83"/>
      <x:c r="J242" s="83"/>
      <x:c r="K242" s="83"/>
      <x:c r="L242" s="83"/>
      <x:c r="M242" s="75" t="str">
        <x:f>IF(COUNTA(A242:L242)=0,"",IF(AND(A242&lt;&gt;"",B242&lt;&gt;"",C242="N4",OR(D242="Ngữ pháp",D242="Đọc",D242="Nghe",D242="Từ và kanji",D242="Giao tiếp"),OR(F242="Mới",F242="Ôn lại",F242="Hỗ trợ",F242="Luyện"),ISNUMBER(G242),ISNUMBER(H242),ISNUMBER(I242),ISNUMBER(J242),G242&gt;=0,H242&gt;=G242,I242&gt;=H242,I242&gt;0,J242&gt;=0,MOD(G242,1)=0,MOD(H242,1)=0,MOD(I242,1)=0,COUNTIFS($A$8:A242,A242,$D$8:D242,D242,$F$8:F242,F242)=1),"Hợp lệ","Kiểm tra/trùng"))</x:f>
      </x:c>
    </x:row>
    <x:row r="243" ht="27" customHeight="1">
      <x:c r="A243" s="83"/>
      <x:c r="B243" s="83"/>
      <x:c r="C243" s="83"/>
      <x:c r="D243" s="83"/>
      <x:c r="E243" s="83"/>
      <x:c r="F243" s="83"/>
      <x:c r="G243" s="83"/>
      <x:c r="H243" s="83"/>
      <x:c r="I243" s="83"/>
      <x:c r="J243" s="83"/>
      <x:c r="K243" s="83"/>
      <x:c r="L243" s="83"/>
      <x:c r="M243" s="75" t="str">
        <x:f>IF(COUNTA(A243:L243)=0,"",IF(AND(A243&lt;&gt;"",B243&lt;&gt;"",C243="N4",OR(D243="Ngữ pháp",D243="Đọc",D243="Nghe",D243="Từ và kanji",D243="Giao tiếp"),OR(F243="Mới",F243="Ôn lại",F243="Hỗ trợ",F243="Luyện"),ISNUMBER(G243),ISNUMBER(H243),ISNUMBER(I243),ISNUMBER(J243),G243&gt;=0,H243&gt;=G243,I243&gt;=H243,I243&gt;0,J243&gt;=0,MOD(G243,1)=0,MOD(H243,1)=0,MOD(I243,1)=0,COUNTIFS($A$8:A243,A243,$D$8:D243,D243,$F$8:F243,F243)=1),"Hợp lệ","Kiểm tra/trùng"))</x:f>
      </x:c>
    </x:row>
    <x:row r="244" ht="27" customHeight="1">
      <x:c r="A244" s="83"/>
      <x:c r="B244" s="83"/>
      <x:c r="C244" s="83"/>
      <x:c r="D244" s="83"/>
      <x:c r="E244" s="83"/>
      <x:c r="F244" s="83"/>
      <x:c r="G244" s="83"/>
      <x:c r="H244" s="83"/>
      <x:c r="I244" s="83"/>
      <x:c r="J244" s="83"/>
      <x:c r="K244" s="83"/>
      <x:c r="L244" s="83"/>
      <x:c r="M244" s="75" t="str">
        <x:f>IF(COUNTA(A244:L244)=0,"",IF(AND(A244&lt;&gt;"",B244&lt;&gt;"",C244="N4",OR(D244="Ngữ pháp",D244="Đọc",D244="Nghe",D244="Từ và kanji",D244="Giao tiếp"),OR(F244="Mới",F244="Ôn lại",F244="Hỗ trợ",F244="Luyện"),ISNUMBER(G244),ISNUMBER(H244),ISNUMBER(I244),ISNUMBER(J244),G244&gt;=0,H244&gt;=G244,I244&gt;=H244,I244&gt;0,J244&gt;=0,MOD(G244,1)=0,MOD(H244,1)=0,MOD(I244,1)=0,COUNTIFS($A$8:A244,A244,$D$8:D244,D244,$F$8:F244,F244)=1),"Hợp lệ","Kiểm tra/trùng"))</x:f>
      </x:c>
    </x:row>
    <x:row r="245" ht="27" customHeight="1">
      <x:c r="A245" s="83"/>
      <x:c r="B245" s="83"/>
      <x:c r="C245" s="83"/>
      <x:c r="D245" s="83"/>
      <x:c r="E245" s="83"/>
      <x:c r="F245" s="83"/>
      <x:c r="G245" s="83"/>
      <x:c r="H245" s="83"/>
      <x:c r="I245" s="83"/>
      <x:c r="J245" s="83"/>
      <x:c r="K245" s="83"/>
      <x:c r="L245" s="83"/>
      <x:c r="M245" s="75" t="str">
        <x:f>IF(COUNTA(A245:L245)=0,"",IF(AND(A245&lt;&gt;"",B245&lt;&gt;"",C245="N4",OR(D245="Ngữ pháp",D245="Đọc",D245="Nghe",D245="Từ và kanji",D245="Giao tiếp"),OR(F245="Mới",F245="Ôn lại",F245="Hỗ trợ",F245="Luyện"),ISNUMBER(G245),ISNUMBER(H245),ISNUMBER(I245),ISNUMBER(J245),G245&gt;=0,H245&gt;=G245,I245&gt;=H245,I245&gt;0,J245&gt;=0,MOD(G245,1)=0,MOD(H245,1)=0,MOD(I245,1)=0,COUNTIFS($A$8:A245,A245,$D$8:D245,D245,$F$8:F245,F245)=1),"Hợp lệ","Kiểm tra/trùng"))</x:f>
      </x:c>
    </x:row>
    <x:row r="246" ht="27" customHeight="1">
      <x:c r="A246" s="83"/>
      <x:c r="B246" s="83"/>
      <x:c r="C246" s="83"/>
      <x:c r="D246" s="83"/>
      <x:c r="E246" s="83"/>
      <x:c r="F246" s="83"/>
      <x:c r="G246" s="83"/>
      <x:c r="H246" s="83"/>
      <x:c r="I246" s="83"/>
      <x:c r="J246" s="83"/>
      <x:c r="K246" s="83"/>
      <x:c r="L246" s="83"/>
      <x:c r="M246" s="75" t="str">
        <x:f>IF(COUNTA(A246:L246)=0,"",IF(AND(A246&lt;&gt;"",B246&lt;&gt;"",C246="N4",OR(D246="Ngữ pháp",D246="Đọc",D246="Nghe",D246="Từ và kanji",D246="Giao tiếp"),OR(F246="Mới",F246="Ôn lại",F246="Hỗ trợ",F246="Luyện"),ISNUMBER(G246),ISNUMBER(H246),ISNUMBER(I246),ISNUMBER(J246),G246&gt;=0,H246&gt;=G246,I246&gt;=H246,I246&gt;0,J246&gt;=0,MOD(G246,1)=0,MOD(H246,1)=0,MOD(I246,1)=0,COUNTIFS($A$8:A246,A246,$D$8:D246,D246,$F$8:F246,F246)=1),"Hợp lệ","Kiểm tra/trùng"))</x:f>
      </x:c>
    </x:row>
    <x:row r="247" ht="27" customHeight="1">
      <x:c r="A247" s="83"/>
      <x:c r="B247" s="83"/>
      <x:c r="C247" s="83"/>
      <x:c r="D247" s="83"/>
      <x:c r="E247" s="83"/>
      <x:c r="F247" s="83"/>
      <x:c r="G247" s="83"/>
      <x:c r="H247" s="83"/>
      <x:c r="I247" s="83"/>
      <x:c r="J247" s="83"/>
      <x:c r="K247" s="83"/>
      <x:c r="L247" s="83"/>
      <x:c r="M247" s="75" t="str">
        <x:f>IF(COUNTA(A247:L247)=0,"",IF(AND(A247&lt;&gt;"",B247&lt;&gt;"",C247="N4",OR(D247="Ngữ pháp",D247="Đọc",D247="Nghe",D247="Từ và kanji",D247="Giao tiếp"),OR(F247="Mới",F247="Ôn lại",F247="Hỗ trợ",F247="Luyện"),ISNUMBER(G247),ISNUMBER(H247),ISNUMBER(I247),ISNUMBER(J247),G247&gt;=0,H247&gt;=G247,I247&gt;=H247,I247&gt;0,J247&gt;=0,MOD(G247,1)=0,MOD(H247,1)=0,MOD(I247,1)=0,COUNTIFS($A$8:A247,A247,$D$8:D247,D247,$F$8:F247,F247)=1),"Hợp lệ","Kiểm tra/trùng"))</x:f>
      </x:c>
    </x:row>
    <x:row r="248" ht="27" customHeight="1">
      <x:c r="A248" s="83"/>
      <x:c r="B248" s="83"/>
      <x:c r="C248" s="83"/>
      <x:c r="D248" s="83"/>
      <x:c r="E248" s="83"/>
      <x:c r="F248" s="83"/>
      <x:c r="G248" s="83"/>
      <x:c r="H248" s="83"/>
      <x:c r="I248" s="83"/>
      <x:c r="J248" s="83"/>
      <x:c r="K248" s="83"/>
      <x:c r="L248" s="83"/>
      <x:c r="M248" s="75" t="str">
        <x:f>IF(COUNTA(A248:L248)=0,"",IF(AND(A248&lt;&gt;"",B248&lt;&gt;"",C248="N4",OR(D248="Ngữ pháp",D248="Đọc",D248="Nghe",D248="Từ và kanji",D248="Giao tiếp"),OR(F248="Mới",F248="Ôn lại",F248="Hỗ trợ",F248="Luyện"),ISNUMBER(G248),ISNUMBER(H248),ISNUMBER(I248),ISNUMBER(J248),G248&gt;=0,H248&gt;=G248,I248&gt;=H248,I248&gt;0,J248&gt;=0,MOD(G248,1)=0,MOD(H248,1)=0,MOD(I248,1)=0,COUNTIFS($A$8:A248,A248,$D$8:D248,D248,$F$8:F248,F248)=1),"Hợp lệ","Kiểm tra/trùng"))</x:f>
      </x:c>
    </x:row>
    <x:row r="249" ht="27" customHeight="1">
      <x:c r="A249" s="83"/>
      <x:c r="B249" s="83"/>
      <x:c r="C249" s="83"/>
      <x:c r="D249" s="83"/>
      <x:c r="E249" s="83"/>
      <x:c r="F249" s="83"/>
      <x:c r="G249" s="83"/>
      <x:c r="H249" s="83"/>
      <x:c r="I249" s="83"/>
      <x:c r="J249" s="83"/>
      <x:c r="K249" s="83"/>
      <x:c r="L249" s="83"/>
      <x:c r="M249" s="75" t="str">
        <x:f>IF(COUNTA(A249:L249)=0,"",IF(AND(A249&lt;&gt;"",B249&lt;&gt;"",C249="N4",OR(D249="Ngữ pháp",D249="Đọc",D249="Nghe",D249="Từ và kanji",D249="Giao tiếp"),OR(F249="Mới",F249="Ôn lại",F249="Hỗ trợ",F249="Luyện"),ISNUMBER(G249),ISNUMBER(H249),ISNUMBER(I249),ISNUMBER(J249),G249&gt;=0,H249&gt;=G249,I249&gt;=H249,I249&gt;0,J249&gt;=0,MOD(G249,1)=0,MOD(H249,1)=0,MOD(I249,1)=0,COUNTIFS($A$8:A249,A249,$D$8:D249,D249,$F$8:F249,F249)=1),"Hợp lệ","Kiểm tra/trùng"))</x:f>
      </x:c>
    </x:row>
    <x:row r="250" ht="27" customHeight="1">
      <x:c r="A250" s="83"/>
      <x:c r="B250" s="83"/>
      <x:c r="C250" s="83"/>
      <x:c r="D250" s="83"/>
      <x:c r="E250" s="83"/>
      <x:c r="F250" s="83"/>
      <x:c r="G250" s="83"/>
      <x:c r="H250" s="83"/>
      <x:c r="I250" s="83"/>
      <x:c r="J250" s="83"/>
      <x:c r="K250" s="83"/>
      <x:c r="L250" s="83"/>
      <x:c r="M250" s="75" t="str">
        <x:f>IF(COUNTA(A250:L250)=0,"",IF(AND(A250&lt;&gt;"",B250&lt;&gt;"",C250="N4",OR(D250="Ngữ pháp",D250="Đọc",D250="Nghe",D250="Từ và kanji",D250="Giao tiếp"),OR(F250="Mới",F250="Ôn lại",F250="Hỗ trợ",F250="Luyện"),ISNUMBER(G250),ISNUMBER(H250),ISNUMBER(I250),ISNUMBER(J250),G250&gt;=0,H250&gt;=G250,I250&gt;=H250,I250&gt;0,J250&gt;=0,MOD(G250,1)=0,MOD(H250,1)=0,MOD(I250,1)=0,COUNTIFS($A$8:A250,A250,$D$8:D250,D250,$F$8:F250,F250)=1),"Hợp lệ","Kiểm tra/trùng"))</x:f>
      </x:c>
    </x:row>
    <x:row r="251" ht="27" customHeight="1">
      <x:c r="A251" s="83"/>
      <x:c r="B251" s="83"/>
      <x:c r="C251" s="83"/>
      <x:c r="D251" s="83"/>
      <x:c r="E251" s="83"/>
      <x:c r="F251" s="83"/>
      <x:c r="G251" s="83"/>
      <x:c r="H251" s="83"/>
      <x:c r="I251" s="83"/>
      <x:c r="J251" s="83"/>
      <x:c r="K251" s="83"/>
      <x:c r="L251" s="83"/>
      <x:c r="M251" s="75" t="str">
        <x:f>IF(COUNTA(A251:L251)=0,"",IF(AND(A251&lt;&gt;"",B251&lt;&gt;"",C251="N4",OR(D251="Ngữ pháp",D251="Đọc",D251="Nghe",D251="Từ và kanji",D251="Giao tiếp"),OR(F251="Mới",F251="Ôn lại",F251="Hỗ trợ",F251="Luyện"),ISNUMBER(G251),ISNUMBER(H251),ISNUMBER(I251),ISNUMBER(J251),G251&gt;=0,H251&gt;=G251,I251&gt;=H251,I251&gt;0,J251&gt;=0,MOD(G251,1)=0,MOD(H251,1)=0,MOD(I251,1)=0,COUNTIFS($A$8:A251,A251,$D$8:D251,D251,$F$8:F251,F251)=1),"Hợp lệ","Kiểm tra/trùng"))</x:f>
      </x:c>
    </x:row>
    <x:row r="252" ht="27" customHeight="1">
      <x:c r="A252" s="83"/>
      <x:c r="B252" s="83"/>
      <x:c r="C252" s="83"/>
      <x:c r="D252" s="83"/>
      <x:c r="E252" s="83"/>
      <x:c r="F252" s="83"/>
      <x:c r="G252" s="83"/>
      <x:c r="H252" s="83"/>
      <x:c r="I252" s="83"/>
      <x:c r="J252" s="83"/>
      <x:c r="K252" s="83"/>
      <x:c r="L252" s="83"/>
      <x:c r="M252" s="75" t="str">
        <x:f>IF(COUNTA(A252:L252)=0,"",IF(AND(A252&lt;&gt;"",B252&lt;&gt;"",C252="N4",OR(D252="Ngữ pháp",D252="Đọc",D252="Nghe",D252="Từ và kanji",D252="Giao tiếp"),OR(F252="Mới",F252="Ôn lại",F252="Hỗ trợ",F252="Luyện"),ISNUMBER(G252),ISNUMBER(H252),ISNUMBER(I252),ISNUMBER(J252),G252&gt;=0,H252&gt;=G252,I252&gt;=H252,I252&gt;0,J252&gt;=0,MOD(G252,1)=0,MOD(H252,1)=0,MOD(I252,1)=0,COUNTIFS($A$8:A252,A252,$D$8:D252,D252,$F$8:F252,F252)=1),"Hợp lệ","Kiểm tra/trùng"))</x:f>
      </x:c>
    </x:row>
    <x:row r="253" ht="27" customHeight="1">
      <x:c r="A253" s="83"/>
      <x:c r="B253" s="83"/>
      <x:c r="C253" s="83"/>
      <x:c r="D253" s="83"/>
      <x:c r="E253" s="83"/>
      <x:c r="F253" s="83"/>
      <x:c r="G253" s="83"/>
      <x:c r="H253" s="83"/>
      <x:c r="I253" s="83"/>
      <x:c r="J253" s="83"/>
      <x:c r="K253" s="83"/>
      <x:c r="L253" s="83"/>
      <x:c r="M253" s="75" t="str">
        <x:f>IF(COUNTA(A253:L253)=0,"",IF(AND(A253&lt;&gt;"",B253&lt;&gt;"",C253="N4",OR(D253="Ngữ pháp",D253="Đọc",D253="Nghe",D253="Từ và kanji",D253="Giao tiếp"),OR(F253="Mới",F253="Ôn lại",F253="Hỗ trợ",F253="Luyện"),ISNUMBER(G253),ISNUMBER(H253),ISNUMBER(I253),ISNUMBER(J253),G253&gt;=0,H253&gt;=G253,I253&gt;=H253,I253&gt;0,J253&gt;=0,MOD(G253,1)=0,MOD(H253,1)=0,MOD(I253,1)=0,COUNTIFS($A$8:A253,A253,$D$8:D253,D253,$F$8:F253,F253)=1),"Hợp lệ","Kiểm tra/trùng"))</x:f>
      </x:c>
    </x:row>
    <x:row r="254" ht="27" customHeight="1">
      <x:c r="A254" s="83"/>
      <x:c r="B254" s="83"/>
      <x:c r="C254" s="83"/>
      <x:c r="D254" s="83"/>
      <x:c r="E254" s="83"/>
      <x:c r="F254" s="83"/>
      <x:c r="G254" s="83"/>
      <x:c r="H254" s="83"/>
      <x:c r="I254" s="83"/>
      <x:c r="J254" s="83"/>
      <x:c r="K254" s="83"/>
      <x:c r="L254" s="83"/>
      <x:c r="M254" s="75" t="str">
        <x:f>IF(COUNTA(A254:L254)=0,"",IF(AND(A254&lt;&gt;"",B254&lt;&gt;"",C254="N4",OR(D254="Ngữ pháp",D254="Đọc",D254="Nghe",D254="Từ và kanji",D254="Giao tiếp"),OR(F254="Mới",F254="Ôn lại",F254="Hỗ trợ",F254="Luyện"),ISNUMBER(G254),ISNUMBER(H254),ISNUMBER(I254),ISNUMBER(J254),G254&gt;=0,H254&gt;=G254,I254&gt;=H254,I254&gt;0,J254&gt;=0,MOD(G254,1)=0,MOD(H254,1)=0,MOD(I254,1)=0,COUNTIFS($A$8:A254,A254,$D$8:D254,D254,$F$8:F254,F254)=1),"Hợp lệ","Kiểm tra/trùng"))</x:f>
      </x:c>
    </x:row>
    <x:row r="255" ht="27" customHeight="1">
      <x:c r="A255" s="83"/>
      <x:c r="B255" s="83"/>
      <x:c r="C255" s="83"/>
      <x:c r="D255" s="83"/>
      <x:c r="E255" s="83"/>
      <x:c r="F255" s="83"/>
      <x:c r="G255" s="83"/>
      <x:c r="H255" s="83"/>
      <x:c r="I255" s="83"/>
      <x:c r="J255" s="83"/>
      <x:c r="K255" s="83"/>
      <x:c r="L255" s="83"/>
      <x:c r="M255" s="75" t="str">
        <x:f>IF(COUNTA(A255:L255)=0,"",IF(AND(A255&lt;&gt;"",B255&lt;&gt;"",C255="N4",OR(D255="Ngữ pháp",D255="Đọc",D255="Nghe",D255="Từ và kanji",D255="Giao tiếp"),OR(F255="Mới",F255="Ôn lại",F255="Hỗ trợ",F255="Luyện"),ISNUMBER(G255),ISNUMBER(H255),ISNUMBER(I255),ISNUMBER(J255),G255&gt;=0,H255&gt;=G255,I255&gt;=H255,I255&gt;0,J255&gt;=0,MOD(G255,1)=0,MOD(H255,1)=0,MOD(I255,1)=0,COUNTIFS($A$8:A255,A255,$D$8:D255,D255,$F$8:F255,F255)=1),"Hợp lệ","Kiểm tra/trùng"))</x:f>
      </x:c>
    </x:row>
    <x:row r="256" ht="27" customHeight="1">
      <x:c r="A256" s="83"/>
      <x:c r="B256" s="83"/>
      <x:c r="C256" s="83"/>
      <x:c r="D256" s="83"/>
      <x:c r="E256" s="83"/>
      <x:c r="F256" s="83"/>
      <x:c r="G256" s="83"/>
      <x:c r="H256" s="83"/>
      <x:c r="I256" s="83"/>
      <x:c r="J256" s="83"/>
      <x:c r="K256" s="83"/>
      <x:c r="L256" s="83"/>
      <x:c r="M256" s="75" t="str">
        <x:f>IF(COUNTA(A256:L256)=0,"",IF(AND(A256&lt;&gt;"",B256&lt;&gt;"",C256="N4",OR(D256="Ngữ pháp",D256="Đọc",D256="Nghe",D256="Từ và kanji",D256="Giao tiếp"),OR(F256="Mới",F256="Ôn lại",F256="Hỗ trợ",F256="Luyện"),ISNUMBER(G256),ISNUMBER(H256),ISNUMBER(I256),ISNUMBER(J256),G256&gt;=0,H256&gt;=G256,I256&gt;=H256,I256&gt;0,J256&gt;=0,MOD(G256,1)=0,MOD(H256,1)=0,MOD(I256,1)=0,COUNTIFS($A$8:A256,A256,$D$8:D256,D256,$F$8:F256,F256)=1),"Hợp lệ","Kiểm tra/trùng"))</x:f>
      </x:c>
    </x:row>
    <x:row r="257" ht="27" customHeight="1">
      <x:c r="A257" s="83"/>
      <x:c r="B257" s="83"/>
      <x:c r="C257" s="83"/>
      <x:c r="D257" s="83"/>
      <x:c r="E257" s="83"/>
      <x:c r="F257" s="83"/>
      <x:c r="G257" s="83"/>
      <x:c r="H257" s="83"/>
      <x:c r="I257" s="83"/>
      <x:c r="J257" s="83"/>
      <x:c r="K257" s="83"/>
      <x:c r="L257" s="83"/>
      <x:c r="M257" s="75" t="str">
        <x:f>IF(COUNTA(A257:L257)=0,"",IF(AND(A257&lt;&gt;"",B257&lt;&gt;"",C257="N4",OR(D257="Ngữ pháp",D257="Đọc",D257="Nghe",D257="Từ và kanji",D257="Giao tiếp"),OR(F257="Mới",F257="Ôn lại",F257="Hỗ trợ",F257="Luyện"),ISNUMBER(G257),ISNUMBER(H257),ISNUMBER(I257),ISNUMBER(J257),G257&gt;=0,H257&gt;=G257,I257&gt;=H257,I257&gt;0,J257&gt;=0,MOD(G257,1)=0,MOD(H257,1)=0,MOD(I257,1)=0,COUNTIFS($A$8:A257,A257,$D$8:D257,D257,$F$8:F257,F257)=1),"Hợp lệ","Kiểm tra/trùng"))</x:f>
      </x:c>
    </x:row>
    <x:row r="258" ht="27" customHeight="1">
      <x:c r="A258" s="83"/>
      <x:c r="B258" s="83"/>
      <x:c r="C258" s="83"/>
      <x:c r="D258" s="83"/>
      <x:c r="E258" s="83"/>
      <x:c r="F258" s="83"/>
      <x:c r="G258" s="83"/>
      <x:c r="H258" s="83"/>
      <x:c r="I258" s="83"/>
      <x:c r="J258" s="83"/>
      <x:c r="K258" s="83"/>
      <x:c r="L258" s="83"/>
      <x:c r="M258" s="75" t="str">
        <x:f>IF(COUNTA(A258:L258)=0,"",IF(AND(A258&lt;&gt;"",B258&lt;&gt;"",C258="N4",OR(D258="Ngữ pháp",D258="Đọc",D258="Nghe",D258="Từ và kanji",D258="Giao tiếp"),OR(F258="Mới",F258="Ôn lại",F258="Hỗ trợ",F258="Luyện"),ISNUMBER(G258),ISNUMBER(H258),ISNUMBER(I258),ISNUMBER(J258),G258&gt;=0,H258&gt;=G258,I258&gt;=H258,I258&gt;0,J258&gt;=0,MOD(G258,1)=0,MOD(H258,1)=0,MOD(I258,1)=0,COUNTIFS($A$8:A258,A258,$D$8:D258,D258,$F$8:F258,F258)=1),"Hợp lệ","Kiểm tra/trùng"))</x:f>
      </x:c>
    </x:row>
    <x:row r="259" ht="27" customHeight="1">
      <x:c r="A259" s="83"/>
      <x:c r="B259" s="83"/>
      <x:c r="C259" s="83"/>
      <x:c r="D259" s="83"/>
      <x:c r="E259" s="83"/>
      <x:c r="F259" s="83"/>
      <x:c r="G259" s="83"/>
      <x:c r="H259" s="83"/>
      <x:c r="I259" s="83"/>
      <x:c r="J259" s="83"/>
      <x:c r="K259" s="83"/>
      <x:c r="L259" s="83"/>
      <x:c r="M259" s="75" t="str">
        <x:f>IF(COUNTA(A259:L259)=0,"",IF(AND(A259&lt;&gt;"",B259&lt;&gt;"",C259="N4",OR(D259="Ngữ pháp",D259="Đọc",D259="Nghe",D259="Từ và kanji",D259="Giao tiếp"),OR(F259="Mới",F259="Ôn lại",F259="Hỗ trợ",F259="Luyện"),ISNUMBER(G259),ISNUMBER(H259),ISNUMBER(I259),ISNUMBER(J259),G259&gt;=0,H259&gt;=G259,I259&gt;=H259,I259&gt;0,J259&gt;=0,MOD(G259,1)=0,MOD(H259,1)=0,MOD(I259,1)=0,COUNTIFS($A$8:A259,A259,$D$8:D259,D259,$F$8:F259,F259)=1),"Hợp lệ","Kiểm tra/trùng"))</x:f>
      </x:c>
    </x:row>
    <x:row r="260" ht="27" customHeight="1">
      <x:c r="A260" s="83"/>
      <x:c r="B260" s="83"/>
      <x:c r="C260" s="83"/>
      <x:c r="D260" s="83"/>
      <x:c r="E260" s="83"/>
      <x:c r="F260" s="83"/>
      <x:c r="G260" s="83"/>
      <x:c r="H260" s="83"/>
      <x:c r="I260" s="83"/>
      <x:c r="J260" s="83"/>
      <x:c r="K260" s="83"/>
      <x:c r="L260" s="83"/>
      <x:c r="M260" s="75" t="str">
        <x:f>IF(COUNTA(A260:L260)=0,"",IF(AND(A260&lt;&gt;"",B260&lt;&gt;"",C260="N4",OR(D260="Ngữ pháp",D260="Đọc",D260="Nghe",D260="Từ và kanji",D260="Giao tiếp"),OR(F260="Mới",F260="Ôn lại",F260="Hỗ trợ",F260="Luyện"),ISNUMBER(G260),ISNUMBER(H260),ISNUMBER(I260),ISNUMBER(J260),G260&gt;=0,H260&gt;=G260,I260&gt;=H260,I260&gt;0,J260&gt;=0,MOD(G260,1)=0,MOD(H260,1)=0,MOD(I260,1)=0,COUNTIFS($A$8:A260,A260,$D$8:D260,D260,$F$8:F260,F260)=1),"Hợp lệ","Kiểm tra/trùng"))</x:f>
      </x:c>
    </x:row>
    <x:row r="261" ht="27" customHeight="1">
      <x:c r="A261" s="83"/>
      <x:c r="B261" s="83"/>
      <x:c r="C261" s="83"/>
      <x:c r="D261" s="83"/>
      <x:c r="E261" s="83"/>
      <x:c r="F261" s="83"/>
      <x:c r="G261" s="83"/>
      <x:c r="H261" s="83"/>
      <x:c r="I261" s="83"/>
      <x:c r="J261" s="83"/>
      <x:c r="K261" s="83"/>
      <x:c r="L261" s="83"/>
      <x:c r="M261" s="75" t="str">
        <x:f>IF(COUNTA(A261:L261)=0,"",IF(AND(A261&lt;&gt;"",B261&lt;&gt;"",C261="N4",OR(D261="Ngữ pháp",D261="Đọc",D261="Nghe",D261="Từ và kanji",D261="Giao tiếp"),OR(F261="Mới",F261="Ôn lại",F261="Hỗ trợ",F261="Luyện"),ISNUMBER(G261),ISNUMBER(H261),ISNUMBER(I261),ISNUMBER(J261),G261&gt;=0,H261&gt;=G261,I261&gt;=H261,I261&gt;0,J261&gt;=0,MOD(G261,1)=0,MOD(H261,1)=0,MOD(I261,1)=0,COUNTIFS($A$8:A261,A261,$D$8:D261,D261,$F$8:F261,F261)=1),"Hợp lệ","Kiểm tra/trùng"))</x:f>
      </x:c>
    </x:row>
    <x:row r="262" ht="27" customHeight="1">
      <x:c r="A262" s="83"/>
      <x:c r="B262" s="83"/>
      <x:c r="C262" s="83"/>
      <x:c r="D262" s="83"/>
      <x:c r="E262" s="83"/>
      <x:c r="F262" s="83"/>
      <x:c r="G262" s="83"/>
      <x:c r="H262" s="83"/>
      <x:c r="I262" s="83"/>
      <x:c r="J262" s="83"/>
      <x:c r="K262" s="83"/>
      <x:c r="L262" s="83"/>
      <x:c r="M262" s="75" t="str">
        <x:f>IF(COUNTA(A262:L262)=0,"",IF(AND(A262&lt;&gt;"",B262&lt;&gt;"",C262="N4",OR(D262="Ngữ pháp",D262="Đọc",D262="Nghe",D262="Từ và kanji",D262="Giao tiếp"),OR(F262="Mới",F262="Ôn lại",F262="Hỗ trợ",F262="Luyện"),ISNUMBER(G262),ISNUMBER(H262),ISNUMBER(I262),ISNUMBER(J262),G262&gt;=0,H262&gt;=G262,I262&gt;=H262,I262&gt;0,J262&gt;=0,MOD(G262,1)=0,MOD(H262,1)=0,MOD(I262,1)=0,COUNTIFS($A$8:A262,A262,$D$8:D262,D262,$F$8:F262,F262)=1),"Hợp lệ","Kiểm tra/trùng"))</x:f>
      </x:c>
    </x:row>
    <x:row r="263" ht="27" customHeight="1">
      <x:c r="A263" s="83"/>
      <x:c r="B263" s="83"/>
      <x:c r="C263" s="83"/>
      <x:c r="D263" s="83"/>
      <x:c r="E263" s="83"/>
      <x:c r="F263" s="83"/>
      <x:c r="G263" s="83"/>
      <x:c r="H263" s="83"/>
      <x:c r="I263" s="83"/>
      <x:c r="J263" s="83"/>
      <x:c r="K263" s="83"/>
      <x:c r="L263" s="83"/>
      <x:c r="M263" s="75" t="str">
        <x:f>IF(COUNTA(A263:L263)=0,"",IF(AND(A263&lt;&gt;"",B263&lt;&gt;"",C263="N4",OR(D263="Ngữ pháp",D263="Đọc",D263="Nghe",D263="Từ và kanji",D263="Giao tiếp"),OR(F263="Mới",F263="Ôn lại",F263="Hỗ trợ",F263="Luyện"),ISNUMBER(G263),ISNUMBER(H263),ISNUMBER(I263),ISNUMBER(J263),G263&gt;=0,H263&gt;=G263,I263&gt;=H263,I263&gt;0,J263&gt;=0,MOD(G263,1)=0,MOD(H263,1)=0,MOD(I263,1)=0,COUNTIFS($A$8:A263,A263,$D$8:D263,D263,$F$8:F263,F263)=1),"Hợp lệ","Kiểm tra/trùng"))</x:f>
      </x:c>
    </x:row>
    <x:row r="264" ht="27" customHeight="1">
      <x:c r="A264" s="83"/>
      <x:c r="B264" s="83"/>
      <x:c r="C264" s="83"/>
      <x:c r="D264" s="83"/>
      <x:c r="E264" s="83"/>
      <x:c r="F264" s="83"/>
      <x:c r="G264" s="83"/>
      <x:c r="H264" s="83"/>
      <x:c r="I264" s="83"/>
      <x:c r="J264" s="83"/>
      <x:c r="K264" s="83"/>
      <x:c r="L264" s="83"/>
      <x:c r="M264" s="75" t="str">
        <x:f>IF(COUNTA(A264:L264)=0,"",IF(AND(A264&lt;&gt;"",B264&lt;&gt;"",C264="N4",OR(D264="Ngữ pháp",D264="Đọc",D264="Nghe",D264="Từ và kanji",D264="Giao tiếp"),OR(F264="Mới",F264="Ôn lại",F264="Hỗ trợ",F264="Luyện"),ISNUMBER(G264),ISNUMBER(H264),ISNUMBER(I264),ISNUMBER(J264),G264&gt;=0,H264&gt;=G264,I264&gt;=H264,I264&gt;0,J264&gt;=0,MOD(G264,1)=0,MOD(H264,1)=0,MOD(I264,1)=0,COUNTIFS($A$8:A264,A264,$D$8:D264,D264,$F$8:F264,F264)=1),"Hợp lệ","Kiểm tra/trùng"))</x:f>
      </x:c>
    </x:row>
    <x:row r="265" ht="27" customHeight="1">
      <x:c r="A265" s="83"/>
      <x:c r="B265" s="83"/>
      <x:c r="C265" s="83"/>
      <x:c r="D265" s="83"/>
      <x:c r="E265" s="83"/>
      <x:c r="F265" s="83"/>
      <x:c r="G265" s="83"/>
      <x:c r="H265" s="83"/>
      <x:c r="I265" s="83"/>
      <x:c r="J265" s="83"/>
      <x:c r="K265" s="83"/>
      <x:c r="L265" s="83"/>
      <x:c r="M265" s="75" t="str">
        <x:f>IF(COUNTA(A265:L265)=0,"",IF(AND(A265&lt;&gt;"",B265&lt;&gt;"",C265="N4",OR(D265="Ngữ pháp",D265="Đọc",D265="Nghe",D265="Từ và kanji",D265="Giao tiếp"),OR(F265="Mới",F265="Ôn lại",F265="Hỗ trợ",F265="Luyện"),ISNUMBER(G265),ISNUMBER(H265),ISNUMBER(I265),ISNUMBER(J265),G265&gt;=0,H265&gt;=G265,I265&gt;=H265,I265&gt;0,J265&gt;=0,MOD(G265,1)=0,MOD(H265,1)=0,MOD(I265,1)=0,COUNTIFS($A$8:A265,A265,$D$8:D265,D265,$F$8:F265,F265)=1),"Hợp lệ","Kiểm tra/trùng"))</x:f>
      </x:c>
    </x:row>
    <x:row r="266" ht="27" customHeight="1">
      <x:c r="A266" s="83"/>
      <x:c r="B266" s="83"/>
      <x:c r="C266" s="83"/>
      <x:c r="D266" s="83"/>
      <x:c r="E266" s="83"/>
      <x:c r="F266" s="83"/>
      <x:c r="G266" s="83"/>
      <x:c r="H266" s="83"/>
      <x:c r="I266" s="83"/>
      <x:c r="J266" s="83"/>
      <x:c r="K266" s="83"/>
      <x:c r="L266" s="83"/>
      <x:c r="M266" s="75" t="str">
        <x:f>IF(COUNTA(A266:L266)=0,"",IF(AND(A266&lt;&gt;"",B266&lt;&gt;"",C266="N4",OR(D266="Ngữ pháp",D266="Đọc",D266="Nghe",D266="Từ và kanji",D266="Giao tiếp"),OR(F266="Mới",F266="Ôn lại",F266="Hỗ trợ",F266="Luyện"),ISNUMBER(G266),ISNUMBER(H266),ISNUMBER(I266),ISNUMBER(J266),G266&gt;=0,H266&gt;=G266,I266&gt;=H266,I266&gt;0,J266&gt;=0,MOD(G266,1)=0,MOD(H266,1)=0,MOD(I266,1)=0,COUNTIFS($A$8:A266,A266,$D$8:D266,D266,$F$8:F266,F266)=1),"Hợp lệ","Kiểm tra/trùng"))</x:f>
      </x:c>
    </x:row>
    <x:row r="267" ht="27" customHeight="1">
      <x:c r="A267" s="83"/>
      <x:c r="B267" s="83"/>
      <x:c r="C267" s="83"/>
      <x:c r="D267" s="83"/>
      <x:c r="E267" s="83"/>
      <x:c r="F267" s="83"/>
      <x:c r="G267" s="83"/>
      <x:c r="H267" s="83"/>
      <x:c r="I267" s="83"/>
      <x:c r="J267" s="83"/>
      <x:c r="K267" s="83"/>
      <x:c r="L267" s="83"/>
      <x:c r="M267" s="75" t="str">
        <x:f>IF(COUNTA(A267:L267)=0,"",IF(AND(A267&lt;&gt;"",B267&lt;&gt;"",C267="N4",OR(D267="Ngữ pháp",D267="Đọc",D267="Nghe",D267="Từ và kanji",D267="Giao tiếp"),OR(F267="Mới",F267="Ôn lại",F267="Hỗ trợ",F267="Luyện"),ISNUMBER(G267),ISNUMBER(H267),ISNUMBER(I267),ISNUMBER(J267),G267&gt;=0,H267&gt;=G267,I267&gt;=H267,I267&gt;0,J267&gt;=0,MOD(G267,1)=0,MOD(H267,1)=0,MOD(I267,1)=0,COUNTIFS($A$8:A267,A267,$D$8:D267,D267,$F$8:F267,F267)=1),"Hợp lệ","Kiểm tra/trùng"))</x:f>
      </x:c>
    </x:row>
    <x:row r="268" ht="27" customHeight="1">
      <x:c r="A268" s="83"/>
      <x:c r="B268" s="83"/>
      <x:c r="C268" s="83"/>
      <x:c r="D268" s="83"/>
      <x:c r="E268" s="83"/>
      <x:c r="F268" s="83"/>
      <x:c r="G268" s="83"/>
      <x:c r="H268" s="83"/>
      <x:c r="I268" s="83"/>
      <x:c r="J268" s="83"/>
      <x:c r="K268" s="83"/>
      <x:c r="L268" s="83"/>
      <x:c r="M268" s="75" t="str">
        <x:f>IF(COUNTA(A268:L268)=0,"",IF(AND(A268&lt;&gt;"",B268&lt;&gt;"",C268="N4",OR(D268="Ngữ pháp",D268="Đọc",D268="Nghe",D268="Từ và kanji",D268="Giao tiếp"),OR(F268="Mới",F268="Ôn lại",F268="Hỗ trợ",F268="Luyện"),ISNUMBER(G268),ISNUMBER(H268),ISNUMBER(I268),ISNUMBER(J268),G268&gt;=0,H268&gt;=G268,I268&gt;=H268,I268&gt;0,J268&gt;=0,MOD(G268,1)=0,MOD(H268,1)=0,MOD(I268,1)=0,COUNTIFS($A$8:A268,A268,$D$8:D268,D268,$F$8:F268,F268)=1),"Hợp lệ","Kiểm tra/trùng"))</x:f>
      </x:c>
    </x:row>
    <x:row r="269" ht="27" customHeight="1">
      <x:c r="A269" s="83"/>
      <x:c r="B269" s="83"/>
      <x:c r="C269" s="83"/>
      <x:c r="D269" s="83"/>
      <x:c r="E269" s="83"/>
      <x:c r="F269" s="83"/>
      <x:c r="G269" s="83"/>
      <x:c r="H269" s="83"/>
      <x:c r="I269" s="83"/>
      <x:c r="J269" s="83"/>
      <x:c r="K269" s="83"/>
      <x:c r="L269" s="83"/>
      <x:c r="M269" s="75" t="str">
        <x:f>IF(COUNTA(A269:L269)=0,"",IF(AND(A269&lt;&gt;"",B269&lt;&gt;"",C269="N4",OR(D269="Ngữ pháp",D269="Đọc",D269="Nghe",D269="Từ và kanji",D269="Giao tiếp"),OR(F269="Mới",F269="Ôn lại",F269="Hỗ trợ",F269="Luyện"),ISNUMBER(G269),ISNUMBER(H269),ISNUMBER(I269),ISNUMBER(J269),G269&gt;=0,H269&gt;=G269,I269&gt;=H269,I269&gt;0,J269&gt;=0,MOD(G269,1)=0,MOD(H269,1)=0,MOD(I269,1)=0,COUNTIFS($A$8:A269,A269,$D$8:D269,D269,$F$8:F269,F269)=1),"Hợp lệ","Kiểm tra/trùng"))</x:f>
      </x:c>
    </x:row>
    <x:row r="270" ht="27" customHeight="1">
      <x:c r="A270" s="83"/>
      <x:c r="B270" s="83"/>
      <x:c r="C270" s="83"/>
      <x:c r="D270" s="83"/>
      <x:c r="E270" s="83"/>
      <x:c r="F270" s="83"/>
      <x:c r="G270" s="83"/>
      <x:c r="H270" s="83"/>
      <x:c r="I270" s="83"/>
      <x:c r="J270" s="83"/>
      <x:c r="K270" s="83"/>
      <x:c r="L270" s="83"/>
      <x:c r="M270" s="75" t="str">
        <x:f>IF(COUNTA(A270:L270)=0,"",IF(AND(A270&lt;&gt;"",B270&lt;&gt;"",C270="N4",OR(D270="Ngữ pháp",D270="Đọc",D270="Nghe",D270="Từ và kanji",D270="Giao tiếp"),OR(F270="Mới",F270="Ôn lại",F270="Hỗ trợ",F270="Luyện"),ISNUMBER(G270),ISNUMBER(H270),ISNUMBER(I270),ISNUMBER(J270),G270&gt;=0,H270&gt;=G270,I270&gt;=H270,I270&gt;0,J270&gt;=0,MOD(G270,1)=0,MOD(H270,1)=0,MOD(I270,1)=0,COUNTIFS($A$8:A270,A270,$D$8:D270,D270,$F$8:F270,F270)=1),"Hợp lệ","Kiểm tra/trùng"))</x:f>
      </x:c>
    </x:row>
    <x:row r="271" ht="27" customHeight="1">
      <x:c r="A271" s="83"/>
      <x:c r="B271" s="83"/>
      <x:c r="C271" s="83"/>
      <x:c r="D271" s="83"/>
      <x:c r="E271" s="83"/>
      <x:c r="F271" s="83"/>
      <x:c r="G271" s="83"/>
      <x:c r="H271" s="83"/>
      <x:c r="I271" s="83"/>
      <x:c r="J271" s="83"/>
      <x:c r="K271" s="83"/>
      <x:c r="L271" s="83"/>
      <x:c r="M271" s="75" t="str">
        <x:f>IF(COUNTA(A271:L271)=0,"",IF(AND(A271&lt;&gt;"",B271&lt;&gt;"",C271="N4",OR(D271="Ngữ pháp",D271="Đọc",D271="Nghe",D271="Từ và kanji",D271="Giao tiếp"),OR(F271="Mới",F271="Ôn lại",F271="Hỗ trợ",F271="Luyện"),ISNUMBER(G271),ISNUMBER(H271),ISNUMBER(I271),ISNUMBER(J271),G271&gt;=0,H271&gt;=G271,I271&gt;=H271,I271&gt;0,J271&gt;=0,MOD(G271,1)=0,MOD(H271,1)=0,MOD(I271,1)=0,COUNTIFS($A$8:A271,A271,$D$8:D271,D271,$F$8:F271,F271)=1),"Hợp lệ","Kiểm tra/trùng"))</x:f>
      </x:c>
    </x:row>
    <x:row r="272" ht="27" customHeight="1">
      <x:c r="A272" s="83"/>
      <x:c r="B272" s="83"/>
      <x:c r="C272" s="83"/>
      <x:c r="D272" s="83"/>
      <x:c r="E272" s="83"/>
      <x:c r="F272" s="83"/>
      <x:c r="G272" s="83"/>
      <x:c r="H272" s="83"/>
      <x:c r="I272" s="83"/>
      <x:c r="J272" s="83"/>
      <x:c r="K272" s="83"/>
      <x:c r="L272" s="83"/>
      <x:c r="M272" s="75" t="str">
        <x:f>IF(COUNTA(A272:L272)=0,"",IF(AND(A272&lt;&gt;"",B272&lt;&gt;"",C272="N4",OR(D272="Ngữ pháp",D272="Đọc",D272="Nghe",D272="Từ và kanji",D272="Giao tiếp"),OR(F272="Mới",F272="Ôn lại",F272="Hỗ trợ",F272="Luyện"),ISNUMBER(G272),ISNUMBER(H272),ISNUMBER(I272),ISNUMBER(J272),G272&gt;=0,H272&gt;=G272,I272&gt;=H272,I272&gt;0,J272&gt;=0,MOD(G272,1)=0,MOD(H272,1)=0,MOD(I272,1)=0,COUNTIFS($A$8:A272,A272,$D$8:D272,D272,$F$8:F272,F272)=1),"Hợp lệ","Kiểm tra/trùng"))</x:f>
      </x:c>
    </x:row>
    <x:row r="273" ht="27" customHeight="1">
      <x:c r="A273" s="83"/>
      <x:c r="B273" s="83"/>
      <x:c r="C273" s="83"/>
      <x:c r="D273" s="83"/>
      <x:c r="E273" s="83"/>
      <x:c r="F273" s="83"/>
      <x:c r="G273" s="83"/>
      <x:c r="H273" s="83"/>
      <x:c r="I273" s="83"/>
      <x:c r="J273" s="83"/>
      <x:c r="K273" s="83"/>
      <x:c r="L273" s="83"/>
      <x:c r="M273" s="75" t="str">
        <x:f>IF(COUNTA(A273:L273)=0,"",IF(AND(A273&lt;&gt;"",B273&lt;&gt;"",C273="N4",OR(D273="Ngữ pháp",D273="Đọc",D273="Nghe",D273="Từ và kanji",D273="Giao tiếp"),OR(F273="Mới",F273="Ôn lại",F273="Hỗ trợ",F273="Luyện"),ISNUMBER(G273),ISNUMBER(H273),ISNUMBER(I273),ISNUMBER(J273),G273&gt;=0,H273&gt;=G273,I273&gt;=H273,I273&gt;0,J273&gt;=0,MOD(G273,1)=0,MOD(H273,1)=0,MOD(I273,1)=0,COUNTIFS($A$8:A273,A273,$D$8:D273,D273,$F$8:F273,F273)=1),"Hợp lệ","Kiểm tra/trùng"))</x:f>
      </x:c>
    </x:row>
    <x:row r="274" ht="27" customHeight="1">
      <x:c r="A274" s="83"/>
      <x:c r="B274" s="83"/>
      <x:c r="C274" s="83"/>
      <x:c r="D274" s="83"/>
      <x:c r="E274" s="83"/>
      <x:c r="F274" s="83"/>
      <x:c r="G274" s="83"/>
      <x:c r="H274" s="83"/>
      <x:c r="I274" s="83"/>
      <x:c r="J274" s="83"/>
      <x:c r="K274" s="83"/>
      <x:c r="L274" s="83"/>
      <x:c r="M274" s="75" t="str">
        <x:f>IF(COUNTA(A274:L274)=0,"",IF(AND(A274&lt;&gt;"",B274&lt;&gt;"",C274="N4",OR(D274="Ngữ pháp",D274="Đọc",D274="Nghe",D274="Từ và kanji",D274="Giao tiếp"),OR(F274="Mới",F274="Ôn lại",F274="Hỗ trợ",F274="Luyện"),ISNUMBER(G274),ISNUMBER(H274),ISNUMBER(I274),ISNUMBER(J274),G274&gt;=0,H274&gt;=G274,I274&gt;=H274,I274&gt;0,J274&gt;=0,MOD(G274,1)=0,MOD(H274,1)=0,MOD(I274,1)=0,COUNTIFS($A$8:A274,A274,$D$8:D274,D274,$F$8:F274,F274)=1),"Hợp lệ","Kiểm tra/trùng"))</x:f>
      </x:c>
    </x:row>
    <x:row r="275" ht="27" customHeight="1">
      <x:c r="A275" s="83"/>
      <x:c r="B275" s="83"/>
      <x:c r="C275" s="83"/>
      <x:c r="D275" s="83"/>
      <x:c r="E275" s="83"/>
      <x:c r="F275" s="83"/>
      <x:c r="G275" s="83"/>
      <x:c r="H275" s="83"/>
      <x:c r="I275" s="83"/>
      <x:c r="J275" s="83"/>
      <x:c r="K275" s="83"/>
      <x:c r="L275" s="83"/>
      <x:c r="M275" s="75" t="str">
        <x:f>IF(COUNTA(A275:L275)=0,"",IF(AND(A275&lt;&gt;"",B275&lt;&gt;"",C275="N4",OR(D275="Ngữ pháp",D275="Đọc",D275="Nghe",D275="Từ và kanji",D275="Giao tiếp"),OR(F275="Mới",F275="Ôn lại",F275="Hỗ trợ",F275="Luyện"),ISNUMBER(G275),ISNUMBER(H275),ISNUMBER(I275),ISNUMBER(J275),G275&gt;=0,H275&gt;=G275,I275&gt;=H275,I275&gt;0,J275&gt;=0,MOD(G275,1)=0,MOD(H275,1)=0,MOD(I275,1)=0,COUNTIFS($A$8:A275,A275,$D$8:D275,D275,$F$8:F275,F275)=1),"Hợp lệ","Kiểm tra/trùng"))</x:f>
      </x:c>
    </x:row>
    <x:row r="276" ht="27" customHeight="1">
      <x:c r="A276" s="83"/>
      <x:c r="B276" s="83"/>
      <x:c r="C276" s="83"/>
      <x:c r="D276" s="83"/>
      <x:c r="E276" s="83"/>
      <x:c r="F276" s="83"/>
      <x:c r="G276" s="83"/>
      <x:c r="H276" s="83"/>
      <x:c r="I276" s="83"/>
      <x:c r="J276" s="83"/>
      <x:c r="K276" s="83"/>
      <x:c r="L276" s="83"/>
      <x:c r="M276" s="75" t="str">
        <x:f>IF(COUNTA(A276:L276)=0,"",IF(AND(A276&lt;&gt;"",B276&lt;&gt;"",C276="N4",OR(D276="Ngữ pháp",D276="Đọc",D276="Nghe",D276="Từ và kanji",D276="Giao tiếp"),OR(F276="Mới",F276="Ôn lại",F276="Hỗ trợ",F276="Luyện"),ISNUMBER(G276),ISNUMBER(H276),ISNUMBER(I276),ISNUMBER(J276),G276&gt;=0,H276&gt;=G276,I276&gt;=H276,I276&gt;0,J276&gt;=0,MOD(G276,1)=0,MOD(H276,1)=0,MOD(I276,1)=0,COUNTIFS($A$8:A276,A276,$D$8:D276,D276,$F$8:F276,F276)=1),"Hợp lệ","Kiểm tra/trùng"))</x:f>
      </x:c>
    </x:row>
    <x:row r="277" ht="27" customHeight="1">
      <x:c r="A277" s="83"/>
      <x:c r="B277" s="83"/>
      <x:c r="C277" s="83"/>
      <x:c r="D277" s="83"/>
      <x:c r="E277" s="83"/>
      <x:c r="F277" s="83"/>
      <x:c r="G277" s="83"/>
      <x:c r="H277" s="83"/>
      <x:c r="I277" s="83"/>
      <x:c r="J277" s="83"/>
      <x:c r="K277" s="83"/>
      <x:c r="L277" s="83"/>
      <x:c r="M277" s="75" t="str">
        <x:f>IF(COUNTA(A277:L277)=0,"",IF(AND(A277&lt;&gt;"",B277&lt;&gt;"",C277="N4",OR(D277="Ngữ pháp",D277="Đọc",D277="Nghe",D277="Từ và kanji",D277="Giao tiếp"),OR(F277="Mới",F277="Ôn lại",F277="Hỗ trợ",F277="Luyện"),ISNUMBER(G277),ISNUMBER(H277),ISNUMBER(I277),ISNUMBER(J277),G277&gt;=0,H277&gt;=G277,I277&gt;=H277,I277&gt;0,J277&gt;=0,MOD(G277,1)=0,MOD(H277,1)=0,MOD(I277,1)=0,COUNTIFS($A$8:A277,A277,$D$8:D277,D277,$F$8:F277,F277)=1),"Hợp lệ","Kiểm tra/trùng"))</x:f>
      </x:c>
    </x:row>
    <x:row r="278" ht="27" customHeight="1">
      <x:c r="A278" s="83"/>
      <x:c r="B278" s="83"/>
      <x:c r="C278" s="83"/>
      <x:c r="D278" s="83"/>
      <x:c r="E278" s="83"/>
      <x:c r="F278" s="83"/>
      <x:c r="G278" s="83"/>
      <x:c r="H278" s="83"/>
      <x:c r="I278" s="83"/>
      <x:c r="J278" s="83"/>
      <x:c r="K278" s="83"/>
      <x:c r="L278" s="83"/>
      <x:c r="M278" s="75" t="str">
        <x:f>IF(COUNTA(A278:L278)=0,"",IF(AND(A278&lt;&gt;"",B278&lt;&gt;"",C278="N4",OR(D278="Ngữ pháp",D278="Đọc",D278="Nghe",D278="Từ và kanji",D278="Giao tiếp"),OR(F278="Mới",F278="Ôn lại",F278="Hỗ trợ",F278="Luyện"),ISNUMBER(G278),ISNUMBER(H278),ISNUMBER(I278),ISNUMBER(J278),G278&gt;=0,H278&gt;=G278,I278&gt;=H278,I278&gt;0,J278&gt;=0,MOD(G278,1)=0,MOD(H278,1)=0,MOD(I278,1)=0,COUNTIFS($A$8:A278,A278,$D$8:D278,D278,$F$8:F278,F278)=1),"Hợp lệ","Kiểm tra/trùng"))</x:f>
      </x:c>
    </x:row>
    <x:row r="279" ht="27" customHeight="1">
      <x:c r="A279" s="83"/>
      <x:c r="B279" s="83"/>
      <x:c r="C279" s="83"/>
      <x:c r="D279" s="83"/>
      <x:c r="E279" s="83"/>
      <x:c r="F279" s="83"/>
      <x:c r="G279" s="83"/>
      <x:c r="H279" s="83"/>
      <x:c r="I279" s="83"/>
      <x:c r="J279" s="83"/>
      <x:c r="K279" s="83"/>
      <x:c r="L279" s="83"/>
      <x:c r="M279" s="75" t="str">
        <x:f>IF(COUNTA(A279:L279)=0,"",IF(AND(A279&lt;&gt;"",B279&lt;&gt;"",C279="N4",OR(D279="Ngữ pháp",D279="Đọc",D279="Nghe",D279="Từ và kanji",D279="Giao tiếp"),OR(F279="Mới",F279="Ôn lại",F279="Hỗ trợ",F279="Luyện"),ISNUMBER(G279),ISNUMBER(H279),ISNUMBER(I279),ISNUMBER(J279),G279&gt;=0,H279&gt;=G279,I279&gt;=H279,I279&gt;0,J279&gt;=0,MOD(G279,1)=0,MOD(H279,1)=0,MOD(I279,1)=0,COUNTIFS($A$8:A279,A279,$D$8:D279,D279,$F$8:F279,F279)=1),"Hợp lệ","Kiểm tra/trùng"))</x:f>
      </x:c>
    </x:row>
    <x:row r="280" ht="27" customHeight="1">
      <x:c r="A280" s="83"/>
      <x:c r="B280" s="83"/>
      <x:c r="C280" s="83"/>
      <x:c r="D280" s="83"/>
      <x:c r="E280" s="83"/>
      <x:c r="F280" s="83"/>
      <x:c r="G280" s="83"/>
      <x:c r="H280" s="83"/>
      <x:c r="I280" s="83"/>
      <x:c r="J280" s="83"/>
      <x:c r="K280" s="83"/>
      <x:c r="L280" s="83"/>
      <x:c r="M280" s="75" t="str">
        <x:f>IF(COUNTA(A280:L280)=0,"",IF(AND(A280&lt;&gt;"",B280&lt;&gt;"",C280="N4",OR(D280="Ngữ pháp",D280="Đọc",D280="Nghe",D280="Từ và kanji",D280="Giao tiếp"),OR(F280="Mới",F280="Ôn lại",F280="Hỗ trợ",F280="Luyện"),ISNUMBER(G280),ISNUMBER(H280),ISNUMBER(I280),ISNUMBER(J280),G280&gt;=0,H280&gt;=G280,I280&gt;=H280,I280&gt;0,J280&gt;=0,MOD(G280,1)=0,MOD(H280,1)=0,MOD(I280,1)=0,COUNTIFS($A$8:A280,A280,$D$8:D280,D280,$F$8:F280,F280)=1),"Hợp lệ","Kiểm tra/trùng"))</x:f>
      </x:c>
    </x:row>
    <x:row r="281" ht="27" customHeight="1">
      <x:c r="A281" s="83"/>
      <x:c r="B281" s="83"/>
      <x:c r="C281" s="83"/>
      <x:c r="D281" s="83"/>
      <x:c r="E281" s="83"/>
      <x:c r="F281" s="83"/>
      <x:c r="G281" s="83"/>
      <x:c r="H281" s="83"/>
      <x:c r="I281" s="83"/>
      <x:c r="J281" s="83"/>
      <x:c r="K281" s="83"/>
      <x:c r="L281" s="83"/>
      <x:c r="M281" s="75" t="str">
        <x:f>IF(COUNTA(A281:L281)=0,"",IF(AND(A281&lt;&gt;"",B281&lt;&gt;"",C281="N4",OR(D281="Ngữ pháp",D281="Đọc",D281="Nghe",D281="Từ và kanji",D281="Giao tiếp"),OR(F281="Mới",F281="Ôn lại",F281="Hỗ trợ",F281="Luyện"),ISNUMBER(G281),ISNUMBER(H281),ISNUMBER(I281),ISNUMBER(J281),G281&gt;=0,H281&gt;=G281,I281&gt;=H281,I281&gt;0,J281&gt;=0,MOD(G281,1)=0,MOD(H281,1)=0,MOD(I281,1)=0,COUNTIFS($A$8:A281,A281,$D$8:D281,D281,$F$8:F281,F281)=1),"Hợp lệ","Kiểm tra/trùng"))</x:f>
      </x:c>
    </x:row>
    <x:row r="282" ht="27" customHeight="1">
      <x:c r="A282" s="83"/>
      <x:c r="B282" s="83"/>
      <x:c r="C282" s="83"/>
      <x:c r="D282" s="83"/>
      <x:c r="E282" s="83"/>
      <x:c r="F282" s="83"/>
      <x:c r="G282" s="83"/>
      <x:c r="H282" s="83"/>
      <x:c r="I282" s="83"/>
      <x:c r="J282" s="83"/>
      <x:c r="K282" s="83"/>
      <x:c r="L282" s="83"/>
      <x:c r="M282" s="75" t="str">
        <x:f>IF(COUNTA(A282:L282)=0,"",IF(AND(A282&lt;&gt;"",B282&lt;&gt;"",C282="N4",OR(D282="Ngữ pháp",D282="Đọc",D282="Nghe",D282="Từ và kanji",D282="Giao tiếp"),OR(F282="Mới",F282="Ôn lại",F282="Hỗ trợ",F282="Luyện"),ISNUMBER(G282),ISNUMBER(H282),ISNUMBER(I282),ISNUMBER(J282),G282&gt;=0,H282&gt;=G282,I282&gt;=H282,I282&gt;0,J282&gt;=0,MOD(G282,1)=0,MOD(H282,1)=0,MOD(I282,1)=0,COUNTIFS($A$8:A282,A282,$D$8:D282,D282,$F$8:F282,F282)=1),"Hợp lệ","Kiểm tra/trùng"))</x:f>
      </x:c>
    </x:row>
    <x:row r="283" ht="27" customHeight="1">
      <x:c r="A283" s="83"/>
      <x:c r="B283" s="83"/>
      <x:c r="C283" s="83"/>
      <x:c r="D283" s="83"/>
      <x:c r="E283" s="83"/>
      <x:c r="F283" s="83"/>
      <x:c r="G283" s="83"/>
      <x:c r="H283" s="83"/>
      <x:c r="I283" s="83"/>
      <x:c r="J283" s="83"/>
      <x:c r="K283" s="83"/>
      <x:c r="L283" s="83"/>
      <x:c r="M283" s="75" t="str">
        <x:f>IF(COUNTA(A283:L283)=0,"",IF(AND(A283&lt;&gt;"",B283&lt;&gt;"",C283="N4",OR(D283="Ngữ pháp",D283="Đọc",D283="Nghe",D283="Từ và kanji",D283="Giao tiếp"),OR(F283="Mới",F283="Ôn lại",F283="Hỗ trợ",F283="Luyện"),ISNUMBER(G283),ISNUMBER(H283),ISNUMBER(I283),ISNUMBER(J283),G283&gt;=0,H283&gt;=G283,I283&gt;=H283,I283&gt;0,J283&gt;=0,MOD(G283,1)=0,MOD(H283,1)=0,MOD(I283,1)=0,COUNTIFS($A$8:A283,A283,$D$8:D283,D283,$F$8:F283,F283)=1),"Hợp lệ","Kiểm tra/trùng"))</x:f>
      </x:c>
    </x:row>
    <x:row r="284" ht="27" customHeight="1">
      <x:c r="A284" s="83"/>
      <x:c r="B284" s="83"/>
      <x:c r="C284" s="83"/>
      <x:c r="D284" s="83"/>
      <x:c r="E284" s="83"/>
      <x:c r="F284" s="83"/>
      <x:c r="G284" s="83"/>
      <x:c r="H284" s="83"/>
      <x:c r="I284" s="83"/>
      <x:c r="J284" s="83"/>
      <x:c r="K284" s="83"/>
      <x:c r="L284" s="83"/>
      <x:c r="M284" s="75" t="str">
        <x:f>IF(COUNTA(A284:L284)=0,"",IF(AND(A284&lt;&gt;"",B284&lt;&gt;"",C284="N4",OR(D284="Ngữ pháp",D284="Đọc",D284="Nghe",D284="Từ và kanji",D284="Giao tiếp"),OR(F284="Mới",F284="Ôn lại",F284="Hỗ trợ",F284="Luyện"),ISNUMBER(G284),ISNUMBER(H284),ISNUMBER(I284),ISNUMBER(J284),G284&gt;=0,H284&gt;=G284,I284&gt;=H284,I284&gt;0,J284&gt;=0,MOD(G284,1)=0,MOD(H284,1)=0,MOD(I284,1)=0,COUNTIFS($A$8:A284,A284,$D$8:D284,D284,$F$8:F284,F284)=1),"Hợp lệ","Kiểm tra/trùng"))</x:f>
      </x:c>
    </x:row>
    <x:row r="285" ht="27" customHeight="1">
      <x:c r="A285" s="83"/>
      <x:c r="B285" s="83"/>
      <x:c r="C285" s="83"/>
      <x:c r="D285" s="83"/>
      <x:c r="E285" s="83"/>
      <x:c r="F285" s="83"/>
      <x:c r="G285" s="83"/>
      <x:c r="H285" s="83"/>
      <x:c r="I285" s="83"/>
      <x:c r="J285" s="83"/>
      <x:c r="K285" s="83"/>
      <x:c r="L285" s="83"/>
      <x:c r="M285" s="75" t="str">
        <x:f>IF(COUNTA(A285:L285)=0,"",IF(AND(A285&lt;&gt;"",B285&lt;&gt;"",C285="N4",OR(D285="Ngữ pháp",D285="Đọc",D285="Nghe",D285="Từ và kanji",D285="Giao tiếp"),OR(F285="Mới",F285="Ôn lại",F285="Hỗ trợ",F285="Luyện"),ISNUMBER(G285),ISNUMBER(H285),ISNUMBER(I285),ISNUMBER(J285),G285&gt;=0,H285&gt;=G285,I285&gt;=H285,I285&gt;0,J285&gt;=0,MOD(G285,1)=0,MOD(H285,1)=0,MOD(I285,1)=0,COUNTIFS($A$8:A285,A285,$D$8:D285,D285,$F$8:F285,F285)=1),"Hợp lệ","Kiểm tra/trùng"))</x:f>
      </x:c>
    </x:row>
    <x:row r="286" ht="27" customHeight="1">
      <x:c r="A286" s="83"/>
      <x:c r="B286" s="83"/>
      <x:c r="C286" s="83"/>
      <x:c r="D286" s="83"/>
      <x:c r="E286" s="83"/>
      <x:c r="F286" s="83"/>
      <x:c r="G286" s="83"/>
      <x:c r="H286" s="83"/>
      <x:c r="I286" s="83"/>
      <x:c r="J286" s="83"/>
      <x:c r="K286" s="83"/>
      <x:c r="L286" s="83"/>
      <x:c r="M286" s="75" t="str">
        <x:f>IF(COUNTA(A286:L286)=0,"",IF(AND(A286&lt;&gt;"",B286&lt;&gt;"",C286="N4",OR(D286="Ngữ pháp",D286="Đọc",D286="Nghe",D286="Từ và kanji",D286="Giao tiếp"),OR(F286="Mới",F286="Ôn lại",F286="Hỗ trợ",F286="Luyện"),ISNUMBER(G286),ISNUMBER(H286),ISNUMBER(I286),ISNUMBER(J286),G286&gt;=0,H286&gt;=G286,I286&gt;=H286,I286&gt;0,J286&gt;=0,MOD(G286,1)=0,MOD(H286,1)=0,MOD(I286,1)=0,COUNTIFS($A$8:A286,A286,$D$8:D286,D286,$F$8:F286,F286)=1),"Hợp lệ","Kiểm tra/trùng"))</x:f>
      </x:c>
    </x:row>
    <x:row r="287" ht="27" customHeight="1">
      <x:c r="A287" s="83"/>
      <x:c r="B287" s="83"/>
      <x:c r="C287" s="83"/>
      <x:c r="D287" s="83"/>
      <x:c r="E287" s="83"/>
      <x:c r="F287" s="83"/>
      <x:c r="G287" s="83"/>
      <x:c r="H287" s="83"/>
      <x:c r="I287" s="83"/>
      <x:c r="J287" s="83"/>
      <x:c r="K287" s="83"/>
      <x:c r="L287" s="83"/>
      <x:c r="M287" s="75" t="str">
        <x:f>IF(COUNTA(A287:L287)=0,"",IF(AND(A287&lt;&gt;"",B287&lt;&gt;"",C287="N4",OR(D287="Ngữ pháp",D287="Đọc",D287="Nghe",D287="Từ và kanji",D287="Giao tiếp"),OR(F287="Mới",F287="Ôn lại",F287="Hỗ trợ",F287="Luyện"),ISNUMBER(G287),ISNUMBER(H287),ISNUMBER(I287),ISNUMBER(J287),G287&gt;=0,H287&gt;=G287,I287&gt;=H287,I287&gt;0,J287&gt;=0,MOD(G287,1)=0,MOD(H287,1)=0,MOD(I287,1)=0,COUNTIFS($A$8:A287,A287,$D$8:D287,D287,$F$8:F287,F287)=1),"Hợp lệ","Kiểm tra/trùng"))</x:f>
      </x:c>
    </x:row>
    <x:row r="288" ht="27" customHeight="1">
      <x:c r="A288" s="83"/>
      <x:c r="B288" s="83"/>
      <x:c r="C288" s="83"/>
      <x:c r="D288" s="83"/>
      <x:c r="E288" s="83"/>
      <x:c r="F288" s="83"/>
      <x:c r="G288" s="83"/>
      <x:c r="H288" s="83"/>
      <x:c r="I288" s="83"/>
      <x:c r="J288" s="83"/>
      <x:c r="K288" s="83"/>
      <x:c r="L288" s="83"/>
      <x:c r="M288" s="75" t="str">
        <x:f>IF(COUNTA(A288:L288)=0,"",IF(AND(A288&lt;&gt;"",B288&lt;&gt;"",C288="N4",OR(D288="Ngữ pháp",D288="Đọc",D288="Nghe",D288="Từ và kanji",D288="Giao tiếp"),OR(F288="Mới",F288="Ôn lại",F288="Hỗ trợ",F288="Luyện"),ISNUMBER(G288),ISNUMBER(H288),ISNUMBER(I288),ISNUMBER(J288),G288&gt;=0,H288&gt;=G288,I288&gt;=H288,I288&gt;0,J288&gt;=0,MOD(G288,1)=0,MOD(H288,1)=0,MOD(I288,1)=0,COUNTIFS($A$8:A288,A288,$D$8:D288,D288,$F$8:F288,F288)=1),"Hợp lệ","Kiểm tra/trùng"))</x:f>
      </x:c>
    </x:row>
    <x:row r="289" ht="27" customHeight="1">
      <x:c r="A289" s="83"/>
      <x:c r="B289" s="83"/>
      <x:c r="C289" s="83"/>
      <x:c r="D289" s="83"/>
      <x:c r="E289" s="83"/>
      <x:c r="F289" s="83"/>
      <x:c r="G289" s="83"/>
      <x:c r="H289" s="83"/>
      <x:c r="I289" s="83"/>
      <x:c r="J289" s="83"/>
      <x:c r="K289" s="83"/>
      <x:c r="L289" s="83"/>
      <x:c r="M289" s="75" t="str">
        <x:f>IF(COUNTA(A289:L289)=0,"",IF(AND(A289&lt;&gt;"",B289&lt;&gt;"",C289="N4",OR(D289="Ngữ pháp",D289="Đọc",D289="Nghe",D289="Từ và kanji",D289="Giao tiếp"),OR(F289="Mới",F289="Ôn lại",F289="Hỗ trợ",F289="Luyện"),ISNUMBER(G289),ISNUMBER(H289),ISNUMBER(I289),ISNUMBER(J289),G289&gt;=0,H289&gt;=G289,I289&gt;=H289,I289&gt;0,J289&gt;=0,MOD(G289,1)=0,MOD(H289,1)=0,MOD(I289,1)=0,COUNTIFS($A$8:A289,A289,$D$8:D289,D289,$F$8:F289,F289)=1),"Hợp lệ","Kiểm tra/trùng"))</x:f>
      </x:c>
    </x:row>
    <x:row r="290" ht="27" customHeight="1">
      <x:c r="A290" s="83"/>
      <x:c r="B290" s="83"/>
      <x:c r="C290" s="83"/>
      <x:c r="D290" s="83"/>
      <x:c r="E290" s="83"/>
      <x:c r="F290" s="83"/>
      <x:c r="G290" s="83"/>
      <x:c r="H290" s="83"/>
      <x:c r="I290" s="83"/>
      <x:c r="J290" s="83"/>
      <x:c r="K290" s="83"/>
      <x:c r="L290" s="83"/>
      <x:c r="M290" s="75" t="str">
        <x:f>IF(COUNTA(A290:L290)=0,"",IF(AND(A290&lt;&gt;"",B290&lt;&gt;"",C290="N4",OR(D290="Ngữ pháp",D290="Đọc",D290="Nghe",D290="Từ và kanji",D290="Giao tiếp"),OR(F290="Mới",F290="Ôn lại",F290="Hỗ trợ",F290="Luyện"),ISNUMBER(G290),ISNUMBER(H290),ISNUMBER(I290),ISNUMBER(J290),G290&gt;=0,H290&gt;=G290,I290&gt;=H290,I290&gt;0,J290&gt;=0,MOD(G290,1)=0,MOD(H290,1)=0,MOD(I290,1)=0,COUNTIFS($A$8:A290,A290,$D$8:D290,D290,$F$8:F290,F290)=1),"Hợp lệ","Kiểm tra/trùng"))</x:f>
      </x:c>
    </x:row>
    <x:row r="291" ht="27" customHeight="1">
      <x:c r="A291" s="83"/>
      <x:c r="B291" s="83"/>
      <x:c r="C291" s="83"/>
      <x:c r="D291" s="83"/>
      <x:c r="E291" s="83"/>
      <x:c r="F291" s="83"/>
      <x:c r="G291" s="83"/>
      <x:c r="H291" s="83"/>
      <x:c r="I291" s="83"/>
      <x:c r="J291" s="83"/>
      <x:c r="K291" s="83"/>
      <x:c r="L291" s="83"/>
      <x:c r="M291" s="75" t="str">
        <x:f>IF(COUNTA(A291:L291)=0,"",IF(AND(A291&lt;&gt;"",B291&lt;&gt;"",C291="N4",OR(D291="Ngữ pháp",D291="Đọc",D291="Nghe",D291="Từ và kanji",D291="Giao tiếp"),OR(F291="Mới",F291="Ôn lại",F291="Hỗ trợ",F291="Luyện"),ISNUMBER(G291),ISNUMBER(H291),ISNUMBER(I291),ISNUMBER(J291),G291&gt;=0,H291&gt;=G291,I291&gt;=H291,I291&gt;0,J291&gt;=0,MOD(G291,1)=0,MOD(H291,1)=0,MOD(I291,1)=0,COUNTIFS($A$8:A291,A291,$D$8:D291,D291,$F$8:F291,F291)=1),"Hợp lệ","Kiểm tra/trùng"))</x:f>
      </x:c>
    </x:row>
    <x:row r="292" ht="27" customHeight="1">
      <x:c r="A292" s="83"/>
      <x:c r="B292" s="83"/>
      <x:c r="C292" s="83"/>
      <x:c r="D292" s="83"/>
      <x:c r="E292" s="83"/>
      <x:c r="F292" s="83"/>
      <x:c r="G292" s="83"/>
      <x:c r="H292" s="83"/>
      <x:c r="I292" s="83"/>
      <x:c r="J292" s="83"/>
      <x:c r="K292" s="83"/>
      <x:c r="L292" s="83"/>
      <x:c r="M292" s="75" t="str">
        <x:f>IF(COUNTA(A292:L292)=0,"",IF(AND(A292&lt;&gt;"",B292&lt;&gt;"",C292="N4",OR(D292="Ngữ pháp",D292="Đọc",D292="Nghe",D292="Từ và kanji",D292="Giao tiếp"),OR(F292="Mới",F292="Ôn lại",F292="Hỗ trợ",F292="Luyện"),ISNUMBER(G292),ISNUMBER(H292),ISNUMBER(I292),ISNUMBER(J292),G292&gt;=0,H292&gt;=G292,I292&gt;=H292,I292&gt;0,J292&gt;=0,MOD(G292,1)=0,MOD(H292,1)=0,MOD(I292,1)=0,COUNTIFS($A$8:A292,A292,$D$8:D292,D292,$F$8:F292,F292)=1),"Hợp lệ","Kiểm tra/trùng"))</x:f>
      </x:c>
    </x:row>
    <x:row r="293" ht="27" customHeight="1">
      <x:c r="A293" s="83"/>
      <x:c r="B293" s="83"/>
      <x:c r="C293" s="83"/>
      <x:c r="D293" s="83"/>
      <x:c r="E293" s="83"/>
      <x:c r="F293" s="83"/>
      <x:c r="G293" s="83"/>
      <x:c r="H293" s="83"/>
      <x:c r="I293" s="83"/>
      <x:c r="J293" s="83"/>
      <x:c r="K293" s="83"/>
      <x:c r="L293" s="83"/>
      <x:c r="M293" s="75" t="str">
        <x:f>IF(COUNTA(A293:L293)=0,"",IF(AND(A293&lt;&gt;"",B293&lt;&gt;"",C293="N4",OR(D293="Ngữ pháp",D293="Đọc",D293="Nghe",D293="Từ và kanji",D293="Giao tiếp"),OR(F293="Mới",F293="Ôn lại",F293="Hỗ trợ",F293="Luyện"),ISNUMBER(G293),ISNUMBER(H293),ISNUMBER(I293),ISNUMBER(J293),G293&gt;=0,H293&gt;=G293,I293&gt;=H293,I293&gt;0,J293&gt;=0,MOD(G293,1)=0,MOD(H293,1)=0,MOD(I293,1)=0,COUNTIFS($A$8:A293,A293,$D$8:D293,D293,$F$8:F293,F293)=1),"Hợp lệ","Kiểm tra/trùng"))</x:f>
      </x:c>
    </x:row>
    <x:row r="294" ht="27" customHeight="1">
      <x:c r="A294" s="83"/>
      <x:c r="B294" s="83"/>
      <x:c r="C294" s="83"/>
      <x:c r="D294" s="83"/>
      <x:c r="E294" s="83"/>
      <x:c r="F294" s="83"/>
      <x:c r="G294" s="83"/>
      <x:c r="H294" s="83"/>
      <x:c r="I294" s="83"/>
      <x:c r="J294" s="83"/>
      <x:c r="K294" s="83"/>
      <x:c r="L294" s="83"/>
      <x:c r="M294" s="75" t="str">
        <x:f>IF(COUNTA(A294:L294)=0,"",IF(AND(A294&lt;&gt;"",B294&lt;&gt;"",C294="N4",OR(D294="Ngữ pháp",D294="Đọc",D294="Nghe",D294="Từ và kanji",D294="Giao tiếp"),OR(F294="Mới",F294="Ôn lại",F294="Hỗ trợ",F294="Luyện"),ISNUMBER(G294),ISNUMBER(H294),ISNUMBER(I294),ISNUMBER(J294),G294&gt;=0,H294&gt;=G294,I294&gt;=H294,I294&gt;0,J294&gt;=0,MOD(G294,1)=0,MOD(H294,1)=0,MOD(I294,1)=0,COUNTIFS($A$8:A294,A294,$D$8:D294,D294,$F$8:F294,F294)=1),"Hợp lệ","Kiểm tra/trùng"))</x:f>
      </x:c>
    </x:row>
    <x:row r="295" ht="27" customHeight="1">
      <x:c r="A295" s="83"/>
      <x:c r="B295" s="83"/>
      <x:c r="C295" s="83"/>
      <x:c r="D295" s="83"/>
      <x:c r="E295" s="83"/>
      <x:c r="F295" s="83"/>
      <x:c r="G295" s="83"/>
      <x:c r="H295" s="83"/>
      <x:c r="I295" s="83"/>
      <x:c r="J295" s="83"/>
      <x:c r="K295" s="83"/>
      <x:c r="L295" s="83"/>
      <x:c r="M295" s="75" t="str">
        <x:f>IF(COUNTA(A295:L295)=0,"",IF(AND(A295&lt;&gt;"",B295&lt;&gt;"",C295="N4",OR(D295="Ngữ pháp",D295="Đọc",D295="Nghe",D295="Từ và kanji",D295="Giao tiếp"),OR(F295="Mới",F295="Ôn lại",F295="Hỗ trợ",F295="Luyện"),ISNUMBER(G295),ISNUMBER(H295),ISNUMBER(I295),ISNUMBER(J295),G295&gt;=0,H295&gt;=G295,I295&gt;=H295,I295&gt;0,J295&gt;=0,MOD(G295,1)=0,MOD(H295,1)=0,MOD(I295,1)=0,COUNTIFS($A$8:A295,A295,$D$8:D295,D295,$F$8:F295,F295)=1),"Hợp lệ","Kiểm tra/trùng"))</x:f>
      </x:c>
    </x:row>
    <x:row r="296" ht="27" customHeight="1">
      <x:c r="A296" s="83"/>
      <x:c r="B296" s="83"/>
      <x:c r="C296" s="83"/>
      <x:c r="D296" s="83"/>
      <x:c r="E296" s="83"/>
      <x:c r="F296" s="83"/>
      <x:c r="G296" s="83"/>
      <x:c r="H296" s="83"/>
      <x:c r="I296" s="83"/>
      <x:c r="J296" s="83"/>
      <x:c r="K296" s="83"/>
      <x:c r="L296" s="83"/>
      <x:c r="M296" s="75" t="str">
        <x:f>IF(COUNTA(A296:L296)=0,"",IF(AND(A296&lt;&gt;"",B296&lt;&gt;"",C296="N4",OR(D296="Ngữ pháp",D296="Đọc",D296="Nghe",D296="Từ và kanji",D296="Giao tiếp"),OR(F296="Mới",F296="Ôn lại",F296="Hỗ trợ",F296="Luyện"),ISNUMBER(G296),ISNUMBER(H296),ISNUMBER(I296),ISNUMBER(J296),G296&gt;=0,H296&gt;=G296,I296&gt;=H296,I296&gt;0,J296&gt;=0,MOD(G296,1)=0,MOD(H296,1)=0,MOD(I296,1)=0,COUNTIFS($A$8:A296,A296,$D$8:D296,D296,$F$8:F296,F296)=1),"Hợp lệ","Kiểm tra/trùng"))</x:f>
      </x:c>
    </x:row>
    <x:row r="297" ht="27" customHeight="1">
      <x:c r="A297" s="83"/>
      <x:c r="B297" s="83"/>
      <x:c r="C297" s="83"/>
      <x:c r="D297" s="83"/>
      <x:c r="E297" s="83"/>
      <x:c r="F297" s="83"/>
      <x:c r="G297" s="83"/>
      <x:c r="H297" s="83"/>
      <x:c r="I297" s="83"/>
      <x:c r="J297" s="83"/>
      <x:c r="K297" s="83"/>
      <x:c r="L297" s="83"/>
      <x:c r="M297" s="75" t="str">
        <x:f>IF(COUNTA(A297:L297)=0,"",IF(AND(A297&lt;&gt;"",B297&lt;&gt;"",C297="N4",OR(D297="Ngữ pháp",D297="Đọc",D297="Nghe",D297="Từ và kanji",D297="Giao tiếp"),OR(F297="Mới",F297="Ôn lại",F297="Hỗ trợ",F297="Luyện"),ISNUMBER(G297),ISNUMBER(H297),ISNUMBER(I297),ISNUMBER(J297),G297&gt;=0,H297&gt;=G297,I297&gt;=H297,I297&gt;0,J297&gt;=0,MOD(G297,1)=0,MOD(H297,1)=0,MOD(I297,1)=0,COUNTIFS($A$8:A297,A297,$D$8:D297,D297,$F$8:F297,F297)=1),"Hợp lệ","Kiểm tra/trùng"))</x:f>
      </x:c>
    </x:row>
    <x:row r="298" ht="27" customHeight="1">
      <x:c r="A298" s="83"/>
      <x:c r="B298" s="83"/>
      <x:c r="C298" s="83"/>
      <x:c r="D298" s="83"/>
      <x:c r="E298" s="83"/>
      <x:c r="F298" s="83"/>
      <x:c r="G298" s="83"/>
      <x:c r="H298" s="83"/>
      <x:c r="I298" s="83"/>
      <x:c r="J298" s="83"/>
      <x:c r="K298" s="83"/>
      <x:c r="L298" s="83"/>
      <x:c r="M298" s="75" t="str">
        <x:f>IF(COUNTA(A298:L298)=0,"",IF(AND(A298&lt;&gt;"",B298&lt;&gt;"",C298="N4",OR(D298="Ngữ pháp",D298="Đọc",D298="Nghe",D298="Từ và kanji",D298="Giao tiếp"),OR(F298="Mới",F298="Ôn lại",F298="Hỗ trợ",F298="Luyện"),ISNUMBER(G298),ISNUMBER(H298),ISNUMBER(I298),ISNUMBER(J298),G298&gt;=0,H298&gt;=G298,I298&gt;=H298,I298&gt;0,J298&gt;=0,MOD(G298,1)=0,MOD(H298,1)=0,MOD(I298,1)=0,COUNTIFS($A$8:A298,A298,$D$8:D298,D298,$F$8:F298,F298)=1),"Hợp lệ","Kiểm tra/trùng"))</x:f>
      </x:c>
    </x:row>
    <x:row r="299" ht="27" customHeight="1">
      <x:c r="A299" s="83"/>
      <x:c r="B299" s="83"/>
      <x:c r="C299" s="83"/>
      <x:c r="D299" s="83"/>
      <x:c r="E299" s="83"/>
      <x:c r="F299" s="83"/>
      <x:c r="G299" s="83"/>
      <x:c r="H299" s="83"/>
      <x:c r="I299" s="83"/>
      <x:c r="J299" s="83"/>
      <x:c r="K299" s="83"/>
      <x:c r="L299" s="83"/>
      <x:c r="M299" s="75" t="str">
        <x:f>IF(COUNTA(A299:L299)=0,"",IF(AND(A299&lt;&gt;"",B299&lt;&gt;"",C299="N4",OR(D299="Ngữ pháp",D299="Đọc",D299="Nghe",D299="Từ và kanji",D299="Giao tiếp"),OR(F299="Mới",F299="Ôn lại",F299="Hỗ trợ",F299="Luyện"),ISNUMBER(G299),ISNUMBER(H299),ISNUMBER(I299),ISNUMBER(J299),G299&gt;=0,H299&gt;=G299,I299&gt;=H299,I299&gt;0,J299&gt;=0,MOD(G299,1)=0,MOD(H299,1)=0,MOD(I299,1)=0,COUNTIFS($A$8:A299,A299,$D$8:D299,D299,$F$8:F299,F299)=1),"Hợp lệ","Kiểm tra/trùng"))</x:f>
      </x:c>
    </x:row>
    <x:row r="300" ht="27" customHeight="1">
      <x:c r="A300" s="83"/>
      <x:c r="B300" s="83"/>
      <x:c r="C300" s="83"/>
      <x:c r="D300" s="83"/>
      <x:c r="E300" s="83"/>
      <x:c r="F300" s="83"/>
      <x:c r="G300" s="83"/>
      <x:c r="H300" s="83"/>
      <x:c r="I300" s="83"/>
      <x:c r="J300" s="83"/>
      <x:c r="K300" s="83"/>
      <x:c r="L300" s="83"/>
      <x:c r="M300" s="75" t="str">
        <x:f>IF(COUNTA(A300:L300)=0,"",IF(AND(A300&lt;&gt;"",B300&lt;&gt;"",C300="N4",OR(D300="Ngữ pháp",D300="Đọc",D300="Nghe",D300="Từ và kanji",D300="Giao tiếp"),OR(F300="Mới",F300="Ôn lại",F300="Hỗ trợ",F300="Luyện"),ISNUMBER(G300),ISNUMBER(H300),ISNUMBER(I300),ISNUMBER(J300),G300&gt;=0,H300&gt;=G300,I300&gt;=H300,I300&gt;0,J300&gt;=0,MOD(G300,1)=0,MOD(H300,1)=0,MOD(I300,1)=0,COUNTIFS($A$8:A300,A300,$D$8:D300,D300,$F$8:F300,F300)=1),"Hợp lệ","Kiểm tra/trùng"))</x:f>
      </x:c>
    </x:row>
    <x:row r="301" ht="27" customHeight="1">
      <x:c r="A301" s="83"/>
      <x:c r="B301" s="83"/>
      <x:c r="C301" s="83"/>
      <x:c r="D301" s="83"/>
      <x:c r="E301" s="83"/>
      <x:c r="F301" s="83"/>
      <x:c r="G301" s="83"/>
      <x:c r="H301" s="83"/>
      <x:c r="I301" s="83"/>
      <x:c r="J301" s="83"/>
      <x:c r="K301" s="83"/>
      <x:c r="L301" s="83"/>
      <x:c r="M301" s="75" t="str">
        <x:f>IF(COUNTA(A301:L301)=0,"",IF(AND(A301&lt;&gt;"",B301&lt;&gt;"",C301="N4",OR(D301="Ngữ pháp",D301="Đọc",D301="Nghe",D301="Từ và kanji",D301="Giao tiếp"),OR(F301="Mới",F301="Ôn lại",F301="Hỗ trợ",F301="Luyện"),ISNUMBER(G301),ISNUMBER(H301),ISNUMBER(I301),ISNUMBER(J301),G301&gt;=0,H301&gt;=G301,I301&gt;=H301,I301&gt;0,J301&gt;=0,MOD(G301,1)=0,MOD(H301,1)=0,MOD(I301,1)=0,COUNTIFS($A$8:A301,A301,$D$8:D301,D301,$F$8:F301,F301)=1),"Hợp lệ","Kiểm tra/trùng"))</x:f>
      </x:c>
    </x:row>
    <x:row r="302" ht="27" customHeight="1">
      <x:c r="A302" s="83"/>
      <x:c r="B302" s="83"/>
      <x:c r="C302" s="83"/>
      <x:c r="D302" s="83"/>
      <x:c r="E302" s="83"/>
      <x:c r="F302" s="83"/>
      <x:c r="G302" s="83"/>
      <x:c r="H302" s="83"/>
      <x:c r="I302" s="83"/>
      <x:c r="J302" s="83"/>
      <x:c r="K302" s="83"/>
      <x:c r="L302" s="83"/>
      <x:c r="M302" s="75" t="str">
        <x:f>IF(COUNTA(A302:L302)=0,"",IF(AND(A302&lt;&gt;"",B302&lt;&gt;"",C302="N4",OR(D302="Ngữ pháp",D302="Đọc",D302="Nghe",D302="Từ và kanji",D302="Giao tiếp"),OR(F302="Mới",F302="Ôn lại",F302="Hỗ trợ",F302="Luyện"),ISNUMBER(G302),ISNUMBER(H302),ISNUMBER(I302),ISNUMBER(J302),G302&gt;=0,H302&gt;=G302,I302&gt;=H302,I302&gt;0,J302&gt;=0,MOD(G302,1)=0,MOD(H302,1)=0,MOD(I302,1)=0,COUNTIFS($A$8:A302,A302,$D$8:D302,D302,$F$8:F302,F302)=1),"Hợp lệ","Kiểm tra/trùng"))</x:f>
      </x:c>
    </x:row>
    <x:row r="303" ht="27" customHeight="1">
      <x:c r="A303" s="83"/>
      <x:c r="B303" s="83"/>
      <x:c r="C303" s="83"/>
      <x:c r="D303" s="83"/>
      <x:c r="E303" s="83"/>
      <x:c r="F303" s="83"/>
      <x:c r="G303" s="83"/>
      <x:c r="H303" s="83"/>
      <x:c r="I303" s="83"/>
      <x:c r="J303" s="83"/>
      <x:c r="K303" s="83"/>
      <x:c r="L303" s="83"/>
      <x:c r="M303" s="75" t="str">
        <x:f>IF(COUNTA(A303:L303)=0,"",IF(AND(A303&lt;&gt;"",B303&lt;&gt;"",C303="N4",OR(D303="Ngữ pháp",D303="Đọc",D303="Nghe",D303="Từ và kanji",D303="Giao tiếp"),OR(F303="Mới",F303="Ôn lại",F303="Hỗ trợ",F303="Luyện"),ISNUMBER(G303),ISNUMBER(H303),ISNUMBER(I303),ISNUMBER(J303),G303&gt;=0,H303&gt;=G303,I303&gt;=H303,I303&gt;0,J303&gt;=0,MOD(G303,1)=0,MOD(H303,1)=0,MOD(I303,1)=0,COUNTIFS($A$8:A303,A303,$D$8:D303,D303,$F$8:F303,F303)=1),"Hợp lệ","Kiểm tra/trùng"))</x:f>
      </x:c>
    </x:row>
    <x:row r="304" ht="27" customHeight="1">
      <x:c r="A304" s="83"/>
      <x:c r="B304" s="83"/>
      <x:c r="C304" s="83"/>
      <x:c r="D304" s="83"/>
      <x:c r="E304" s="83"/>
      <x:c r="F304" s="83"/>
      <x:c r="G304" s="83"/>
      <x:c r="H304" s="83"/>
      <x:c r="I304" s="83"/>
      <x:c r="J304" s="83"/>
      <x:c r="K304" s="83"/>
      <x:c r="L304" s="83"/>
      <x:c r="M304" s="75" t="str">
        <x:f>IF(COUNTA(A304:L304)=0,"",IF(AND(A304&lt;&gt;"",B304&lt;&gt;"",C304="N4",OR(D304="Ngữ pháp",D304="Đọc",D304="Nghe",D304="Từ và kanji",D304="Giao tiếp"),OR(F304="Mới",F304="Ôn lại",F304="Hỗ trợ",F304="Luyện"),ISNUMBER(G304),ISNUMBER(H304),ISNUMBER(I304),ISNUMBER(J304),G304&gt;=0,H304&gt;=G304,I304&gt;=H304,I304&gt;0,J304&gt;=0,MOD(G304,1)=0,MOD(H304,1)=0,MOD(I304,1)=0,COUNTIFS($A$8:A304,A304,$D$8:D304,D304,$F$8:F304,F304)=1),"Hợp lệ","Kiểm tra/trùng"))</x:f>
      </x:c>
    </x:row>
    <x:row r="305" ht="27" customHeight="1">
      <x:c r="A305" s="83"/>
      <x:c r="B305" s="83"/>
      <x:c r="C305" s="83"/>
      <x:c r="D305" s="83"/>
      <x:c r="E305" s="83"/>
      <x:c r="F305" s="83"/>
      <x:c r="G305" s="83"/>
      <x:c r="H305" s="83"/>
      <x:c r="I305" s="83"/>
      <x:c r="J305" s="83"/>
      <x:c r="K305" s="83"/>
      <x:c r="L305" s="83"/>
      <x:c r="M305" s="75" t="str">
        <x:f>IF(COUNTA(A305:L305)=0,"",IF(AND(A305&lt;&gt;"",B305&lt;&gt;"",C305="N4",OR(D305="Ngữ pháp",D305="Đọc",D305="Nghe",D305="Từ và kanji",D305="Giao tiếp"),OR(F305="Mới",F305="Ôn lại",F305="Hỗ trợ",F305="Luyện"),ISNUMBER(G305),ISNUMBER(H305),ISNUMBER(I305),ISNUMBER(J305),G305&gt;=0,H305&gt;=G305,I305&gt;=H305,I305&gt;0,J305&gt;=0,MOD(G305,1)=0,MOD(H305,1)=0,MOD(I305,1)=0,COUNTIFS($A$8:A305,A305,$D$8:D305,D305,$F$8:F305,F305)=1),"Hợp lệ","Kiểm tra/trùng"))</x:f>
      </x:c>
    </x:row>
    <x:row r="306" ht="27" customHeight="1">
      <x:c r="A306" s="83"/>
      <x:c r="B306" s="83"/>
      <x:c r="C306" s="83"/>
      <x:c r="D306" s="83"/>
      <x:c r="E306" s="83"/>
      <x:c r="F306" s="83"/>
      <x:c r="G306" s="83"/>
      <x:c r="H306" s="83"/>
      <x:c r="I306" s="83"/>
      <x:c r="J306" s="83"/>
      <x:c r="K306" s="83"/>
      <x:c r="L306" s="83"/>
      <x:c r="M306" s="75" t="str">
        <x:f>IF(COUNTA(A306:L306)=0,"",IF(AND(A306&lt;&gt;"",B306&lt;&gt;"",C306="N4",OR(D306="Ngữ pháp",D306="Đọc",D306="Nghe",D306="Từ và kanji",D306="Giao tiếp"),OR(F306="Mới",F306="Ôn lại",F306="Hỗ trợ",F306="Luyện"),ISNUMBER(G306),ISNUMBER(H306),ISNUMBER(I306),ISNUMBER(J306),G306&gt;=0,H306&gt;=G306,I306&gt;=H306,I306&gt;0,J306&gt;=0,MOD(G306,1)=0,MOD(H306,1)=0,MOD(I306,1)=0,COUNTIFS($A$8:A306,A306,$D$8:D306,D306,$F$8:F306,F306)=1),"Hợp lệ","Kiểm tra/trùng"))</x:f>
      </x:c>
    </x:row>
    <x:row r="307" ht="27" customHeight="1">
      <x:c r="A307" s="83"/>
      <x:c r="B307" s="83"/>
      <x:c r="C307" s="83"/>
      <x:c r="D307" s="83"/>
      <x:c r="E307" s="83"/>
      <x:c r="F307" s="83"/>
      <x:c r="G307" s="83"/>
      <x:c r="H307" s="83"/>
      <x:c r="I307" s="83"/>
      <x:c r="J307" s="83"/>
      <x:c r="K307" s="83"/>
      <x:c r="L307" s="83"/>
      <x:c r="M307" s="75" t="str">
        <x:f>IF(COUNTA(A307:L307)=0,"",IF(AND(A307&lt;&gt;"",B307&lt;&gt;"",C307="N4",OR(D307="Ngữ pháp",D307="Đọc",D307="Nghe",D307="Từ và kanji",D307="Giao tiếp"),OR(F307="Mới",F307="Ôn lại",F307="Hỗ trợ",F307="Luyện"),ISNUMBER(G307),ISNUMBER(H307),ISNUMBER(I307),ISNUMBER(J307),G307&gt;=0,H307&gt;=G307,I307&gt;=H307,I307&gt;0,J307&gt;=0,MOD(G307,1)=0,MOD(H307,1)=0,MOD(I307,1)=0,COUNTIFS($A$8:A307,A307,$D$8:D307,D307,$F$8:F307,F307)=1),"Hợp lệ","Kiểm tra/trùng"))</x:f>
      </x:c>
    </x:row>
    <x:row r="308" ht="27" customHeight="1">
      <x:c r="A308" s="83"/>
      <x:c r="B308" s="83"/>
      <x:c r="C308" s="83"/>
      <x:c r="D308" s="83"/>
      <x:c r="E308" s="83"/>
      <x:c r="F308" s="83"/>
      <x:c r="G308" s="83"/>
      <x:c r="H308" s="83"/>
      <x:c r="I308" s="83"/>
      <x:c r="J308" s="83"/>
      <x:c r="K308" s="83"/>
      <x:c r="L308" s="83"/>
      <x:c r="M308" s="75" t="str">
        <x:f>IF(COUNTA(A308:L308)=0,"",IF(AND(A308&lt;&gt;"",B308&lt;&gt;"",C308="N4",OR(D308="Ngữ pháp",D308="Đọc",D308="Nghe",D308="Từ và kanji",D308="Giao tiếp"),OR(F308="Mới",F308="Ôn lại",F308="Hỗ trợ",F308="Luyện"),ISNUMBER(G308),ISNUMBER(H308),ISNUMBER(I308),ISNUMBER(J308),G308&gt;=0,H308&gt;=G308,I308&gt;=H308,I308&gt;0,J308&gt;=0,MOD(G308,1)=0,MOD(H308,1)=0,MOD(I308,1)=0,COUNTIFS($A$8:A308,A308,$D$8:D308,D308,$F$8:F308,F308)=1),"Hợp lệ","Kiểm tra/trùng"))</x:f>
      </x:c>
    </x:row>
    <x:row r="309" ht="27" customHeight="1">
      <x:c r="A309" s="83"/>
      <x:c r="B309" s="83"/>
      <x:c r="C309" s="83"/>
      <x:c r="D309" s="83"/>
      <x:c r="E309" s="83"/>
      <x:c r="F309" s="83"/>
      <x:c r="G309" s="83"/>
      <x:c r="H309" s="83"/>
      <x:c r="I309" s="83"/>
      <x:c r="J309" s="83"/>
      <x:c r="K309" s="83"/>
      <x:c r="L309" s="83"/>
      <x:c r="M309" s="75" t="str">
        <x:f>IF(COUNTA(A309:L309)=0,"",IF(AND(A309&lt;&gt;"",B309&lt;&gt;"",C309="N4",OR(D309="Ngữ pháp",D309="Đọc",D309="Nghe",D309="Từ và kanji",D309="Giao tiếp"),OR(F309="Mới",F309="Ôn lại",F309="Hỗ trợ",F309="Luyện"),ISNUMBER(G309),ISNUMBER(H309),ISNUMBER(I309),ISNUMBER(J309),G309&gt;=0,H309&gt;=G309,I309&gt;=H309,I309&gt;0,J309&gt;=0,MOD(G309,1)=0,MOD(H309,1)=0,MOD(I309,1)=0,COUNTIFS($A$8:A309,A309,$D$8:D309,D309,$F$8:F309,F309)=1),"Hợp lệ","Kiểm tra/trùng"))</x:f>
      </x:c>
    </x:row>
    <x:row r="310" ht="27" customHeight="1">
      <x:c r="A310" s="83"/>
      <x:c r="B310" s="83"/>
      <x:c r="C310" s="83"/>
      <x:c r="D310" s="83"/>
      <x:c r="E310" s="83"/>
      <x:c r="F310" s="83"/>
      <x:c r="G310" s="83"/>
      <x:c r="H310" s="83"/>
      <x:c r="I310" s="83"/>
      <x:c r="J310" s="83"/>
      <x:c r="K310" s="83"/>
      <x:c r="L310" s="83"/>
      <x:c r="M310" s="75" t="str">
        <x:f>IF(COUNTA(A310:L310)=0,"",IF(AND(A310&lt;&gt;"",B310&lt;&gt;"",C310="N4",OR(D310="Ngữ pháp",D310="Đọc",D310="Nghe",D310="Từ và kanji",D310="Giao tiếp"),OR(F310="Mới",F310="Ôn lại",F310="Hỗ trợ",F310="Luyện"),ISNUMBER(G310),ISNUMBER(H310),ISNUMBER(I310),ISNUMBER(J310),G310&gt;=0,H310&gt;=G310,I310&gt;=H310,I310&gt;0,J310&gt;=0,MOD(G310,1)=0,MOD(H310,1)=0,MOD(I310,1)=0,COUNTIFS($A$8:A310,A310,$D$8:D310,D310,$F$8:F310,F310)=1),"Hợp lệ","Kiểm tra/trùng"))</x:f>
      </x:c>
    </x:row>
    <x:row r="311" ht="27" customHeight="1">
      <x:c r="A311" s="83"/>
      <x:c r="B311" s="83"/>
      <x:c r="C311" s="83"/>
      <x:c r="D311" s="83"/>
      <x:c r="E311" s="83"/>
      <x:c r="F311" s="83"/>
      <x:c r="G311" s="83"/>
      <x:c r="H311" s="83"/>
      <x:c r="I311" s="83"/>
      <x:c r="J311" s="83"/>
      <x:c r="K311" s="83"/>
      <x:c r="L311" s="83"/>
      <x:c r="M311" s="75" t="str">
        <x:f>IF(COUNTA(A311:L311)=0,"",IF(AND(A311&lt;&gt;"",B311&lt;&gt;"",C311="N4",OR(D311="Ngữ pháp",D311="Đọc",D311="Nghe",D311="Từ và kanji",D311="Giao tiếp"),OR(F311="Mới",F311="Ôn lại",F311="Hỗ trợ",F311="Luyện"),ISNUMBER(G311),ISNUMBER(H311),ISNUMBER(I311),ISNUMBER(J311),G311&gt;=0,H311&gt;=G311,I311&gt;=H311,I311&gt;0,J311&gt;=0,MOD(G311,1)=0,MOD(H311,1)=0,MOD(I311,1)=0,COUNTIFS($A$8:A311,A311,$D$8:D311,D311,$F$8:F311,F311)=1),"Hợp lệ","Kiểm tra/trùng"))</x:f>
      </x:c>
    </x:row>
    <x:row r="312" ht="27" customHeight="1">
      <x:c r="A312" s="83"/>
      <x:c r="B312" s="83"/>
      <x:c r="C312" s="83"/>
      <x:c r="D312" s="83"/>
      <x:c r="E312" s="83"/>
      <x:c r="F312" s="83"/>
      <x:c r="G312" s="83"/>
      <x:c r="H312" s="83"/>
      <x:c r="I312" s="83"/>
      <x:c r="J312" s="83"/>
      <x:c r="K312" s="83"/>
      <x:c r="L312" s="83"/>
      <x:c r="M312" s="75" t="str">
        <x:f>IF(COUNTA(A312:L312)=0,"",IF(AND(A312&lt;&gt;"",B312&lt;&gt;"",C312="N4",OR(D312="Ngữ pháp",D312="Đọc",D312="Nghe",D312="Từ và kanji",D312="Giao tiếp"),OR(F312="Mới",F312="Ôn lại",F312="Hỗ trợ",F312="Luyện"),ISNUMBER(G312),ISNUMBER(H312),ISNUMBER(I312),ISNUMBER(J312),G312&gt;=0,H312&gt;=G312,I312&gt;=H312,I312&gt;0,J312&gt;=0,MOD(G312,1)=0,MOD(H312,1)=0,MOD(I312,1)=0,COUNTIFS($A$8:A312,A312,$D$8:D312,D312,$F$8:F312,F312)=1),"Hợp lệ","Kiểm tra/trùng"))</x:f>
      </x:c>
    </x:row>
    <x:row r="313" ht="27" customHeight="1">
      <x:c r="A313" s="83"/>
      <x:c r="B313" s="83"/>
      <x:c r="C313" s="83"/>
      <x:c r="D313" s="83"/>
      <x:c r="E313" s="83"/>
      <x:c r="F313" s="83"/>
      <x:c r="G313" s="83"/>
      <x:c r="H313" s="83"/>
      <x:c r="I313" s="83"/>
      <x:c r="J313" s="83"/>
      <x:c r="K313" s="83"/>
      <x:c r="L313" s="83"/>
      <x:c r="M313" s="75" t="str">
        <x:f>IF(COUNTA(A313:L313)=0,"",IF(AND(A313&lt;&gt;"",B313&lt;&gt;"",C313="N4",OR(D313="Ngữ pháp",D313="Đọc",D313="Nghe",D313="Từ và kanji",D313="Giao tiếp"),OR(F313="Mới",F313="Ôn lại",F313="Hỗ trợ",F313="Luyện"),ISNUMBER(G313),ISNUMBER(H313),ISNUMBER(I313),ISNUMBER(J313),G313&gt;=0,H313&gt;=G313,I313&gt;=H313,I313&gt;0,J313&gt;=0,MOD(G313,1)=0,MOD(H313,1)=0,MOD(I313,1)=0,COUNTIFS($A$8:A313,A313,$D$8:D313,D313,$F$8:F313,F313)=1),"Hợp lệ","Kiểm tra/trùng"))</x:f>
      </x:c>
    </x:row>
    <x:row r="314" ht="27" customHeight="1">
      <x:c r="A314" s="83"/>
      <x:c r="B314" s="83"/>
      <x:c r="C314" s="83"/>
      <x:c r="D314" s="83"/>
      <x:c r="E314" s="83"/>
      <x:c r="F314" s="83"/>
      <x:c r="G314" s="83"/>
      <x:c r="H314" s="83"/>
      <x:c r="I314" s="83"/>
      <x:c r="J314" s="83"/>
      <x:c r="K314" s="83"/>
      <x:c r="L314" s="83"/>
      <x:c r="M314" s="75" t="str">
        <x:f>IF(COUNTA(A314:L314)=0,"",IF(AND(A314&lt;&gt;"",B314&lt;&gt;"",C314="N4",OR(D314="Ngữ pháp",D314="Đọc",D314="Nghe",D314="Từ và kanji",D314="Giao tiếp"),OR(F314="Mới",F314="Ôn lại",F314="Hỗ trợ",F314="Luyện"),ISNUMBER(G314),ISNUMBER(H314),ISNUMBER(I314),ISNUMBER(J314),G314&gt;=0,H314&gt;=G314,I314&gt;=H314,I314&gt;0,J314&gt;=0,MOD(G314,1)=0,MOD(H314,1)=0,MOD(I314,1)=0,COUNTIFS($A$8:A314,A314,$D$8:D314,D314,$F$8:F314,F314)=1),"Hợp lệ","Kiểm tra/trùng"))</x:f>
      </x:c>
    </x:row>
    <x:row r="315" ht="27" customHeight="1">
      <x:c r="A315" s="83"/>
      <x:c r="B315" s="83"/>
      <x:c r="C315" s="83"/>
      <x:c r="D315" s="83"/>
      <x:c r="E315" s="83"/>
      <x:c r="F315" s="83"/>
      <x:c r="G315" s="83"/>
      <x:c r="H315" s="83"/>
      <x:c r="I315" s="83"/>
      <x:c r="J315" s="83"/>
      <x:c r="K315" s="83"/>
      <x:c r="L315" s="83"/>
      <x:c r="M315" s="75" t="str">
        <x:f>IF(COUNTA(A315:L315)=0,"",IF(AND(A315&lt;&gt;"",B315&lt;&gt;"",C315="N4",OR(D315="Ngữ pháp",D315="Đọc",D315="Nghe",D315="Từ và kanji",D315="Giao tiếp"),OR(F315="Mới",F315="Ôn lại",F315="Hỗ trợ",F315="Luyện"),ISNUMBER(G315),ISNUMBER(H315),ISNUMBER(I315),ISNUMBER(J315),G315&gt;=0,H315&gt;=G315,I315&gt;=H315,I315&gt;0,J315&gt;=0,MOD(G315,1)=0,MOD(H315,1)=0,MOD(I315,1)=0,COUNTIFS($A$8:A315,A315,$D$8:D315,D315,$F$8:F315,F315)=1),"Hợp lệ","Kiểm tra/trùng"))</x:f>
      </x:c>
    </x:row>
    <x:row r="316" ht="27" customHeight="1">
      <x:c r="A316" s="83"/>
      <x:c r="B316" s="83"/>
      <x:c r="C316" s="83"/>
      <x:c r="D316" s="83"/>
      <x:c r="E316" s="83"/>
      <x:c r="F316" s="83"/>
      <x:c r="G316" s="83"/>
      <x:c r="H316" s="83"/>
      <x:c r="I316" s="83"/>
      <x:c r="J316" s="83"/>
      <x:c r="K316" s="83"/>
      <x:c r="L316" s="83"/>
      <x:c r="M316" s="75" t="str">
        <x:f>IF(COUNTA(A316:L316)=0,"",IF(AND(A316&lt;&gt;"",B316&lt;&gt;"",C316="N4",OR(D316="Ngữ pháp",D316="Đọc",D316="Nghe",D316="Từ và kanji",D316="Giao tiếp"),OR(F316="Mới",F316="Ôn lại",F316="Hỗ trợ",F316="Luyện"),ISNUMBER(G316),ISNUMBER(H316),ISNUMBER(I316),ISNUMBER(J316),G316&gt;=0,H316&gt;=G316,I316&gt;=H316,I316&gt;0,J316&gt;=0,MOD(G316,1)=0,MOD(H316,1)=0,MOD(I316,1)=0,COUNTIFS($A$8:A316,A316,$D$8:D316,D316,$F$8:F316,F316)=1),"Hợp lệ","Kiểm tra/trùng"))</x:f>
      </x:c>
    </x:row>
    <x:row r="317" ht="27" customHeight="1">
      <x:c r="A317" s="83"/>
      <x:c r="B317" s="83"/>
      <x:c r="C317" s="83"/>
      <x:c r="D317" s="83"/>
      <x:c r="E317" s="83"/>
      <x:c r="F317" s="83"/>
      <x:c r="G317" s="83"/>
      <x:c r="H317" s="83"/>
      <x:c r="I317" s="83"/>
      <x:c r="J317" s="83"/>
      <x:c r="K317" s="83"/>
      <x:c r="L317" s="83"/>
      <x:c r="M317" s="75" t="str">
        <x:f>IF(COUNTA(A317:L317)=0,"",IF(AND(A317&lt;&gt;"",B317&lt;&gt;"",C317="N4",OR(D317="Ngữ pháp",D317="Đọc",D317="Nghe",D317="Từ và kanji",D317="Giao tiếp"),OR(F317="Mới",F317="Ôn lại",F317="Hỗ trợ",F317="Luyện"),ISNUMBER(G317),ISNUMBER(H317),ISNUMBER(I317),ISNUMBER(J317),G317&gt;=0,H317&gt;=G317,I317&gt;=H317,I317&gt;0,J317&gt;=0,MOD(G317,1)=0,MOD(H317,1)=0,MOD(I317,1)=0,COUNTIFS($A$8:A317,A317,$D$8:D317,D317,$F$8:F317,F317)=1),"Hợp lệ","Kiểm tra/trùng"))</x:f>
      </x:c>
    </x:row>
    <x:row r="318" ht="27" customHeight="1">
      <x:c r="A318" s="83"/>
      <x:c r="B318" s="83"/>
      <x:c r="C318" s="83"/>
      <x:c r="D318" s="83"/>
      <x:c r="E318" s="83"/>
      <x:c r="F318" s="83"/>
      <x:c r="G318" s="83"/>
      <x:c r="H318" s="83"/>
      <x:c r="I318" s="83"/>
      <x:c r="J318" s="83"/>
      <x:c r="K318" s="83"/>
      <x:c r="L318" s="83"/>
      <x:c r="M318" s="75" t="str">
        <x:f>IF(COUNTA(A318:L318)=0,"",IF(AND(A318&lt;&gt;"",B318&lt;&gt;"",C318="N4",OR(D318="Ngữ pháp",D318="Đọc",D318="Nghe",D318="Từ và kanji",D318="Giao tiếp"),OR(F318="Mới",F318="Ôn lại",F318="Hỗ trợ",F318="Luyện"),ISNUMBER(G318),ISNUMBER(H318),ISNUMBER(I318),ISNUMBER(J318),G318&gt;=0,H318&gt;=G318,I318&gt;=H318,I318&gt;0,J318&gt;=0,MOD(G318,1)=0,MOD(H318,1)=0,MOD(I318,1)=0,COUNTIFS($A$8:A318,A318,$D$8:D318,D318,$F$8:F318,F318)=1),"Hợp lệ","Kiểm tra/trùng"))</x:f>
      </x:c>
    </x:row>
    <x:row r="319" ht="27" customHeight="1">
      <x:c r="A319" s="83"/>
      <x:c r="B319" s="83"/>
      <x:c r="C319" s="83"/>
      <x:c r="D319" s="83"/>
      <x:c r="E319" s="83"/>
      <x:c r="F319" s="83"/>
      <x:c r="G319" s="83"/>
      <x:c r="H319" s="83"/>
      <x:c r="I319" s="83"/>
      <x:c r="J319" s="83"/>
      <x:c r="K319" s="83"/>
      <x:c r="L319" s="83"/>
      <x:c r="M319" s="75" t="str">
        <x:f>IF(COUNTA(A319:L319)=0,"",IF(AND(A319&lt;&gt;"",B319&lt;&gt;"",C319="N4",OR(D319="Ngữ pháp",D319="Đọc",D319="Nghe",D319="Từ và kanji",D319="Giao tiếp"),OR(F319="Mới",F319="Ôn lại",F319="Hỗ trợ",F319="Luyện"),ISNUMBER(G319),ISNUMBER(H319),ISNUMBER(I319),ISNUMBER(J319),G319&gt;=0,H319&gt;=G319,I319&gt;=H319,I319&gt;0,J319&gt;=0,MOD(G319,1)=0,MOD(H319,1)=0,MOD(I319,1)=0,COUNTIFS($A$8:A319,A319,$D$8:D319,D319,$F$8:F319,F319)=1),"Hợp lệ","Kiểm tra/trùng"))</x:f>
      </x:c>
    </x:row>
    <x:row r="320" ht="27" customHeight="1">
      <x:c r="A320" s="83"/>
      <x:c r="B320" s="83"/>
      <x:c r="C320" s="83"/>
      <x:c r="D320" s="83"/>
      <x:c r="E320" s="83"/>
      <x:c r="F320" s="83"/>
      <x:c r="G320" s="83"/>
      <x:c r="H320" s="83"/>
      <x:c r="I320" s="83"/>
      <x:c r="J320" s="83"/>
      <x:c r="K320" s="83"/>
      <x:c r="L320" s="83"/>
      <x:c r="M320" s="75" t="str">
        <x:f>IF(COUNTA(A320:L320)=0,"",IF(AND(A320&lt;&gt;"",B320&lt;&gt;"",C320="N4",OR(D320="Ngữ pháp",D320="Đọc",D320="Nghe",D320="Từ và kanji",D320="Giao tiếp"),OR(F320="Mới",F320="Ôn lại",F320="Hỗ trợ",F320="Luyện"),ISNUMBER(G320),ISNUMBER(H320),ISNUMBER(I320),ISNUMBER(J320),G320&gt;=0,H320&gt;=G320,I320&gt;=H320,I320&gt;0,J320&gt;=0,MOD(G320,1)=0,MOD(H320,1)=0,MOD(I320,1)=0,COUNTIFS($A$8:A320,A320,$D$8:D320,D320,$F$8:F320,F320)=1),"Hợp lệ","Kiểm tra/trùng"))</x:f>
      </x:c>
    </x:row>
    <x:row r="321" ht="27" customHeight="1">
      <x:c r="A321" s="83"/>
      <x:c r="B321" s="83"/>
      <x:c r="C321" s="83"/>
      <x:c r="D321" s="83"/>
      <x:c r="E321" s="83"/>
      <x:c r="F321" s="83"/>
      <x:c r="G321" s="83"/>
      <x:c r="H321" s="83"/>
      <x:c r="I321" s="83"/>
      <x:c r="J321" s="83"/>
      <x:c r="K321" s="83"/>
      <x:c r="L321" s="83"/>
      <x:c r="M321" s="75" t="str">
        <x:f>IF(COUNTA(A321:L321)=0,"",IF(AND(A321&lt;&gt;"",B321&lt;&gt;"",C321="N4",OR(D321="Ngữ pháp",D321="Đọc",D321="Nghe",D321="Từ và kanji",D321="Giao tiếp"),OR(F321="Mới",F321="Ôn lại",F321="Hỗ trợ",F321="Luyện"),ISNUMBER(G321),ISNUMBER(H321),ISNUMBER(I321),ISNUMBER(J321),G321&gt;=0,H321&gt;=G321,I321&gt;=H321,I321&gt;0,J321&gt;=0,MOD(G321,1)=0,MOD(H321,1)=0,MOD(I321,1)=0,COUNTIFS($A$8:A321,A321,$D$8:D321,D321,$F$8:F321,F321)=1),"Hợp lệ","Kiểm tra/trùng"))</x:f>
      </x:c>
    </x:row>
    <x:row r="322" ht="27" customHeight="1">
      <x:c r="A322" s="83"/>
      <x:c r="B322" s="83"/>
      <x:c r="C322" s="83"/>
      <x:c r="D322" s="83"/>
      <x:c r="E322" s="83"/>
      <x:c r="F322" s="83"/>
      <x:c r="G322" s="83"/>
      <x:c r="H322" s="83"/>
      <x:c r="I322" s="83"/>
      <x:c r="J322" s="83"/>
      <x:c r="K322" s="83"/>
      <x:c r="L322" s="83"/>
      <x:c r="M322" s="75" t="str">
        <x:f>IF(COUNTA(A322:L322)=0,"",IF(AND(A322&lt;&gt;"",B322&lt;&gt;"",C322="N4",OR(D322="Ngữ pháp",D322="Đọc",D322="Nghe",D322="Từ và kanji",D322="Giao tiếp"),OR(F322="Mới",F322="Ôn lại",F322="Hỗ trợ",F322="Luyện"),ISNUMBER(G322),ISNUMBER(H322),ISNUMBER(I322),ISNUMBER(J322),G322&gt;=0,H322&gt;=G322,I322&gt;=H322,I322&gt;0,J322&gt;=0,MOD(G322,1)=0,MOD(H322,1)=0,MOD(I322,1)=0,COUNTIFS($A$8:A322,A322,$D$8:D322,D322,$F$8:F322,F322)=1),"Hợp lệ","Kiểm tra/trùng"))</x:f>
      </x:c>
    </x:row>
    <x:row r="323" ht="27" customHeight="1">
      <x:c r="A323" s="83"/>
      <x:c r="B323" s="83"/>
      <x:c r="C323" s="83"/>
      <x:c r="D323" s="83"/>
      <x:c r="E323" s="83"/>
      <x:c r="F323" s="83"/>
      <x:c r="G323" s="83"/>
      <x:c r="H323" s="83"/>
      <x:c r="I323" s="83"/>
      <x:c r="J323" s="83"/>
      <x:c r="K323" s="83"/>
      <x:c r="L323" s="83"/>
      <x:c r="M323" s="75" t="str">
        <x:f>IF(COUNTA(A323:L323)=0,"",IF(AND(A323&lt;&gt;"",B323&lt;&gt;"",C323="N4",OR(D323="Ngữ pháp",D323="Đọc",D323="Nghe",D323="Từ và kanji",D323="Giao tiếp"),OR(F323="Mới",F323="Ôn lại",F323="Hỗ trợ",F323="Luyện"),ISNUMBER(G323),ISNUMBER(H323),ISNUMBER(I323),ISNUMBER(J323),G323&gt;=0,H323&gt;=G323,I323&gt;=H323,I323&gt;0,J323&gt;=0,MOD(G323,1)=0,MOD(H323,1)=0,MOD(I323,1)=0,COUNTIFS($A$8:A323,A323,$D$8:D323,D323,$F$8:F323,F323)=1),"Hợp lệ","Kiểm tra/trùng"))</x:f>
      </x:c>
    </x:row>
    <x:row r="324" ht="27" customHeight="1">
      <x:c r="A324" s="83"/>
      <x:c r="B324" s="83"/>
      <x:c r="C324" s="83"/>
      <x:c r="D324" s="83"/>
      <x:c r="E324" s="83"/>
      <x:c r="F324" s="83"/>
      <x:c r="G324" s="83"/>
      <x:c r="H324" s="83"/>
      <x:c r="I324" s="83"/>
      <x:c r="J324" s="83"/>
      <x:c r="K324" s="83"/>
      <x:c r="L324" s="83"/>
      <x:c r="M324" s="75" t="str">
        <x:f>IF(COUNTA(A324:L324)=0,"",IF(AND(A324&lt;&gt;"",B324&lt;&gt;"",C324="N4",OR(D324="Ngữ pháp",D324="Đọc",D324="Nghe",D324="Từ và kanji",D324="Giao tiếp"),OR(F324="Mới",F324="Ôn lại",F324="Hỗ trợ",F324="Luyện"),ISNUMBER(G324),ISNUMBER(H324),ISNUMBER(I324),ISNUMBER(J324),G324&gt;=0,H324&gt;=G324,I324&gt;=H324,I324&gt;0,J324&gt;=0,MOD(G324,1)=0,MOD(H324,1)=0,MOD(I324,1)=0,COUNTIFS($A$8:A324,A324,$D$8:D324,D324,$F$8:F324,F324)=1),"Hợp lệ","Kiểm tra/trùng"))</x:f>
      </x:c>
    </x:row>
    <x:row r="325" ht="27" customHeight="1">
      <x:c r="A325" s="83"/>
      <x:c r="B325" s="83"/>
      <x:c r="C325" s="83"/>
      <x:c r="D325" s="83"/>
      <x:c r="E325" s="83"/>
      <x:c r="F325" s="83"/>
      <x:c r="G325" s="83"/>
      <x:c r="H325" s="83"/>
      <x:c r="I325" s="83"/>
      <x:c r="J325" s="83"/>
      <x:c r="K325" s="83"/>
      <x:c r="L325" s="83"/>
      <x:c r="M325" s="75" t="str">
        <x:f>IF(COUNTA(A325:L325)=0,"",IF(AND(A325&lt;&gt;"",B325&lt;&gt;"",C325="N4",OR(D325="Ngữ pháp",D325="Đọc",D325="Nghe",D325="Từ và kanji",D325="Giao tiếp"),OR(F325="Mới",F325="Ôn lại",F325="Hỗ trợ",F325="Luyện"),ISNUMBER(G325),ISNUMBER(H325),ISNUMBER(I325),ISNUMBER(J325),G325&gt;=0,H325&gt;=G325,I325&gt;=H325,I325&gt;0,J325&gt;=0,MOD(G325,1)=0,MOD(H325,1)=0,MOD(I325,1)=0,COUNTIFS($A$8:A325,A325,$D$8:D325,D325,$F$8:F325,F325)=1),"Hợp lệ","Kiểm tra/trùng"))</x:f>
      </x:c>
    </x:row>
    <x:row r="326" ht="27" customHeight="1">
      <x:c r="A326" s="83"/>
      <x:c r="B326" s="83"/>
      <x:c r="C326" s="83"/>
      <x:c r="D326" s="83"/>
      <x:c r="E326" s="83"/>
      <x:c r="F326" s="83"/>
      <x:c r="G326" s="83"/>
      <x:c r="H326" s="83"/>
      <x:c r="I326" s="83"/>
      <x:c r="J326" s="83"/>
      <x:c r="K326" s="83"/>
      <x:c r="L326" s="83"/>
      <x:c r="M326" s="75" t="str">
        <x:f>IF(COUNTA(A326:L326)=0,"",IF(AND(A326&lt;&gt;"",B326&lt;&gt;"",C326="N4",OR(D326="Ngữ pháp",D326="Đọc",D326="Nghe",D326="Từ và kanji",D326="Giao tiếp"),OR(F326="Mới",F326="Ôn lại",F326="Hỗ trợ",F326="Luyện"),ISNUMBER(G326),ISNUMBER(H326),ISNUMBER(I326),ISNUMBER(J326),G326&gt;=0,H326&gt;=G326,I326&gt;=H326,I326&gt;0,J326&gt;=0,MOD(G326,1)=0,MOD(H326,1)=0,MOD(I326,1)=0,COUNTIFS($A$8:A326,A326,$D$8:D326,D326,$F$8:F326,F326)=1),"Hợp lệ","Kiểm tra/trùng"))</x:f>
      </x:c>
    </x:row>
    <x:row r="327" ht="27" customHeight="1">
      <x:c r="A327" s="83"/>
      <x:c r="B327" s="83"/>
      <x:c r="C327" s="83"/>
      <x:c r="D327" s="83"/>
      <x:c r="E327" s="83"/>
      <x:c r="F327" s="83"/>
      <x:c r="G327" s="83"/>
      <x:c r="H327" s="83"/>
      <x:c r="I327" s="83"/>
      <x:c r="J327" s="83"/>
      <x:c r="K327" s="83"/>
      <x:c r="L327" s="83"/>
      <x:c r="M327" s="75" t="str">
        <x:f>IF(COUNTA(A327:L327)=0,"",IF(AND(A327&lt;&gt;"",B327&lt;&gt;"",C327="N4",OR(D327="Ngữ pháp",D327="Đọc",D327="Nghe",D327="Từ và kanji",D327="Giao tiếp"),OR(F327="Mới",F327="Ôn lại",F327="Hỗ trợ",F327="Luyện"),ISNUMBER(G327),ISNUMBER(H327),ISNUMBER(I327),ISNUMBER(J327),G327&gt;=0,H327&gt;=G327,I327&gt;=H327,I327&gt;0,J327&gt;=0,MOD(G327,1)=0,MOD(H327,1)=0,MOD(I327,1)=0,COUNTIFS($A$8:A327,A327,$D$8:D327,D327,$F$8:F327,F327)=1),"Hợp lệ","Kiểm tra/trùng"))</x:f>
      </x:c>
    </x:row>
    <x:row r="328" ht="27" customHeight="1">
      <x:c r="A328" s="83"/>
      <x:c r="B328" s="83"/>
      <x:c r="C328" s="83"/>
      <x:c r="D328" s="83"/>
      <x:c r="E328" s="83"/>
      <x:c r="F328" s="83"/>
      <x:c r="G328" s="83"/>
      <x:c r="H328" s="83"/>
      <x:c r="I328" s="83"/>
      <x:c r="J328" s="83"/>
      <x:c r="K328" s="83"/>
      <x:c r="L328" s="83"/>
      <x:c r="M328" s="75" t="str">
        <x:f>IF(COUNTA(A328:L328)=0,"",IF(AND(A328&lt;&gt;"",B328&lt;&gt;"",C328="N4",OR(D328="Ngữ pháp",D328="Đọc",D328="Nghe",D328="Từ và kanji",D328="Giao tiếp"),OR(F328="Mới",F328="Ôn lại",F328="Hỗ trợ",F328="Luyện"),ISNUMBER(G328),ISNUMBER(H328),ISNUMBER(I328),ISNUMBER(J328),G328&gt;=0,H328&gt;=G328,I328&gt;=H328,I328&gt;0,J328&gt;=0,MOD(G328,1)=0,MOD(H328,1)=0,MOD(I328,1)=0,COUNTIFS($A$8:A328,A328,$D$8:D328,D328,$F$8:F328,F328)=1),"Hợp lệ","Kiểm tra/trùng"))</x:f>
      </x:c>
    </x:row>
    <x:row r="329" ht="27" customHeight="1">
      <x:c r="A329" s="83"/>
      <x:c r="B329" s="83"/>
      <x:c r="C329" s="83"/>
      <x:c r="D329" s="83"/>
      <x:c r="E329" s="83"/>
      <x:c r="F329" s="83"/>
      <x:c r="G329" s="83"/>
      <x:c r="H329" s="83"/>
      <x:c r="I329" s="83"/>
      <x:c r="J329" s="83"/>
      <x:c r="K329" s="83"/>
      <x:c r="L329" s="83"/>
      <x:c r="M329" s="75" t="str">
        <x:f>IF(COUNTA(A329:L329)=0,"",IF(AND(A329&lt;&gt;"",B329&lt;&gt;"",C329="N4",OR(D329="Ngữ pháp",D329="Đọc",D329="Nghe",D329="Từ và kanji",D329="Giao tiếp"),OR(F329="Mới",F329="Ôn lại",F329="Hỗ trợ",F329="Luyện"),ISNUMBER(G329),ISNUMBER(H329),ISNUMBER(I329),ISNUMBER(J329),G329&gt;=0,H329&gt;=G329,I329&gt;=H329,I329&gt;0,J329&gt;=0,MOD(G329,1)=0,MOD(H329,1)=0,MOD(I329,1)=0,COUNTIFS($A$8:A329,A329,$D$8:D329,D329,$F$8:F329,F329)=1),"Hợp lệ","Kiểm tra/trùng"))</x:f>
      </x:c>
    </x:row>
    <x:row r="330" ht="27" customHeight="1">
      <x:c r="A330" s="83"/>
      <x:c r="B330" s="83"/>
      <x:c r="C330" s="83"/>
      <x:c r="D330" s="83"/>
      <x:c r="E330" s="83"/>
      <x:c r="F330" s="83"/>
      <x:c r="G330" s="83"/>
      <x:c r="H330" s="83"/>
      <x:c r="I330" s="83"/>
      <x:c r="J330" s="83"/>
      <x:c r="K330" s="83"/>
      <x:c r="L330" s="83"/>
      <x:c r="M330" s="75" t="str">
        <x:f>IF(COUNTA(A330:L330)=0,"",IF(AND(A330&lt;&gt;"",B330&lt;&gt;"",C330="N4",OR(D330="Ngữ pháp",D330="Đọc",D330="Nghe",D330="Từ và kanji",D330="Giao tiếp"),OR(F330="Mới",F330="Ôn lại",F330="Hỗ trợ",F330="Luyện"),ISNUMBER(G330),ISNUMBER(H330),ISNUMBER(I330),ISNUMBER(J330),G330&gt;=0,H330&gt;=G330,I330&gt;=H330,I330&gt;0,J330&gt;=0,MOD(G330,1)=0,MOD(H330,1)=0,MOD(I330,1)=0,COUNTIFS($A$8:A330,A330,$D$8:D330,D330,$F$8:F330,F330)=1),"Hợp lệ","Kiểm tra/trùng"))</x:f>
      </x:c>
    </x:row>
    <x:row r="331" ht="27" customHeight="1">
      <x:c r="A331" s="83"/>
      <x:c r="B331" s="83"/>
      <x:c r="C331" s="83"/>
      <x:c r="D331" s="83"/>
      <x:c r="E331" s="83"/>
      <x:c r="F331" s="83"/>
      <x:c r="G331" s="83"/>
      <x:c r="H331" s="83"/>
      <x:c r="I331" s="83"/>
      <x:c r="J331" s="83"/>
      <x:c r="K331" s="83"/>
      <x:c r="L331" s="83"/>
      <x:c r="M331" s="75" t="str">
        <x:f>IF(COUNTA(A331:L331)=0,"",IF(AND(A331&lt;&gt;"",B331&lt;&gt;"",C331="N4",OR(D331="Ngữ pháp",D331="Đọc",D331="Nghe",D331="Từ và kanji",D331="Giao tiếp"),OR(F331="Mới",F331="Ôn lại",F331="Hỗ trợ",F331="Luyện"),ISNUMBER(G331),ISNUMBER(H331),ISNUMBER(I331),ISNUMBER(J331),G331&gt;=0,H331&gt;=G331,I331&gt;=H331,I331&gt;0,J331&gt;=0,MOD(G331,1)=0,MOD(H331,1)=0,MOD(I331,1)=0,COUNTIFS($A$8:A331,A331,$D$8:D331,D331,$F$8:F331,F331)=1),"Hợp lệ","Kiểm tra/trùng"))</x:f>
      </x:c>
    </x:row>
    <x:row r="332" ht="27" customHeight="1">
      <x:c r="A332" s="83"/>
      <x:c r="B332" s="83"/>
      <x:c r="C332" s="83"/>
      <x:c r="D332" s="83"/>
      <x:c r="E332" s="83"/>
      <x:c r="F332" s="83"/>
      <x:c r="G332" s="83"/>
      <x:c r="H332" s="83"/>
      <x:c r="I332" s="83"/>
      <x:c r="J332" s="83"/>
      <x:c r="K332" s="83"/>
      <x:c r="L332" s="83"/>
      <x:c r="M332" s="75" t="str">
        <x:f>IF(COUNTA(A332:L332)=0,"",IF(AND(A332&lt;&gt;"",B332&lt;&gt;"",C332="N4",OR(D332="Ngữ pháp",D332="Đọc",D332="Nghe",D332="Từ và kanji",D332="Giao tiếp"),OR(F332="Mới",F332="Ôn lại",F332="Hỗ trợ",F332="Luyện"),ISNUMBER(G332),ISNUMBER(H332),ISNUMBER(I332),ISNUMBER(J332),G332&gt;=0,H332&gt;=G332,I332&gt;=H332,I332&gt;0,J332&gt;=0,MOD(G332,1)=0,MOD(H332,1)=0,MOD(I332,1)=0,COUNTIFS($A$8:A332,A332,$D$8:D332,D332,$F$8:F332,F332)=1),"Hợp lệ","Kiểm tra/trùng"))</x:f>
      </x:c>
    </x:row>
    <x:row r="333" ht="27" customHeight="1">
      <x:c r="A333" s="83"/>
      <x:c r="B333" s="83"/>
      <x:c r="C333" s="83"/>
      <x:c r="D333" s="83"/>
      <x:c r="E333" s="83"/>
      <x:c r="F333" s="83"/>
      <x:c r="G333" s="83"/>
      <x:c r="H333" s="83"/>
      <x:c r="I333" s="83"/>
      <x:c r="J333" s="83"/>
      <x:c r="K333" s="83"/>
      <x:c r="L333" s="83"/>
      <x:c r="M333" s="75" t="str">
        <x:f>IF(COUNTA(A333:L333)=0,"",IF(AND(A333&lt;&gt;"",B333&lt;&gt;"",C333="N4",OR(D333="Ngữ pháp",D333="Đọc",D333="Nghe",D333="Từ và kanji",D333="Giao tiếp"),OR(F333="Mới",F333="Ôn lại",F333="Hỗ trợ",F333="Luyện"),ISNUMBER(G333),ISNUMBER(H333),ISNUMBER(I333),ISNUMBER(J333),G333&gt;=0,H333&gt;=G333,I333&gt;=H333,I333&gt;0,J333&gt;=0,MOD(G333,1)=0,MOD(H333,1)=0,MOD(I333,1)=0,COUNTIFS($A$8:A333,A333,$D$8:D333,D333,$F$8:F333,F333)=1),"Hợp lệ","Kiểm tra/trùng"))</x:f>
      </x:c>
    </x:row>
    <x:row r="334" ht="27" customHeight="1">
      <x:c r="A334" s="83"/>
      <x:c r="B334" s="83"/>
      <x:c r="C334" s="83"/>
      <x:c r="D334" s="83"/>
      <x:c r="E334" s="83"/>
      <x:c r="F334" s="83"/>
      <x:c r="G334" s="83"/>
      <x:c r="H334" s="83"/>
      <x:c r="I334" s="83"/>
      <x:c r="J334" s="83"/>
      <x:c r="K334" s="83"/>
      <x:c r="L334" s="83"/>
      <x:c r="M334" s="75" t="str">
        <x:f>IF(COUNTA(A334:L334)=0,"",IF(AND(A334&lt;&gt;"",B334&lt;&gt;"",C334="N4",OR(D334="Ngữ pháp",D334="Đọc",D334="Nghe",D334="Từ và kanji",D334="Giao tiếp"),OR(F334="Mới",F334="Ôn lại",F334="Hỗ trợ",F334="Luyện"),ISNUMBER(G334),ISNUMBER(H334),ISNUMBER(I334),ISNUMBER(J334),G334&gt;=0,H334&gt;=G334,I334&gt;=H334,I334&gt;0,J334&gt;=0,MOD(G334,1)=0,MOD(H334,1)=0,MOD(I334,1)=0,COUNTIFS($A$8:A334,A334,$D$8:D334,D334,$F$8:F334,F334)=1),"Hợp lệ","Kiểm tra/trùng"))</x:f>
      </x:c>
    </x:row>
    <x:row r="335" ht="27" customHeight="1">
      <x:c r="A335" s="83"/>
      <x:c r="B335" s="83"/>
      <x:c r="C335" s="83"/>
      <x:c r="D335" s="83"/>
      <x:c r="E335" s="83"/>
      <x:c r="F335" s="83"/>
      <x:c r="G335" s="83"/>
      <x:c r="H335" s="83"/>
      <x:c r="I335" s="83"/>
      <x:c r="J335" s="83"/>
      <x:c r="K335" s="83"/>
      <x:c r="L335" s="83"/>
      <x:c r="M335" s="75" t="str">
        <x:f>IF(COUNTA(A335:L335)=0,"",IF(AND(A335&lt;&gt;"",B335&lt;&gt;"",C335="N4",OR(D335="Ngữ pháp",D335="Đọc",D335="Nghe",D335="Từ và kanji",D335="Giao tiếp"),OR(F335="Mới",F335="Ôn lại",F335="Hỗ trợ",F335="Luyện"),ISNUMBER(G335),ISNUMBER(H335),ISNUMBER(I335),ISNUMBER(J335),G335&gt;=0,H335&gt;=G335,I335&gt;=H335,I335&gt;0,J335&gt;=0,MOD(G335,1)=0,MOD(H335,1)=0,MOD(I335,1)=0,COUNTIFS($A$8:A335,A335,$D$8:D335,D335,$F$8:F335,F335)=1),"Hợp lệ","Kiểm tra/trùng"))</x:f>
      </x:c>
    </x:row>
    <x:row r="336" ht="27" customHeight="1">
      <x:c r="A336" s="83"/>
      <x:c r="B336" s="83"/>
      <x:c r="C336" s="83"/>
      <x:c r="D336" s="83"/>
      <x:c r="E336" s="83"/>
      <x:c r="F336" s="83"/>
      <x:c r="G336" s="83"/>
      <x:c r="H336" s="83"/>
      <x:c r="I336" s="83"/>
      <x:c r="J336" s="83"/>
      <x:c r="K336" s="83"/>
      <x:c r="L336" s="83"/>
      <x:c r="M336" s="75" t="str">
        <x:f>IF(COUNTA(A336:L336)=0,"",IF(AND(A336&lt;&gt;"",B336&lt;&gt;"",C336="N4",OR(D336="Ngữ pháp",D336="Đọc",D336="Nghe",D336="Từ và kanji",D336="Giao tiếp"),OR(F336="Mới",F336="Ôn lại",F336="Hỗ trợ",F336="Luyện"),ISNUMBER(G336),ISNUMBER(H336),ISNUMBER(I336),ISNUMBER(J336),G336&gt;=0,H336&gt;=G336,I336&gt;=H336,I336&gt;0,J336&gt;=0,MOD(G336,1)=0,MOD(H336,1)=0,MOD(I336,1)=0,COUNTIFS($A$8:A336,A336,$D$8:D336,D336,$F$8:F336,F336)=1),"Hợp lệ","Kiểm tra/trùng"))</x:f>
      </x:c>
    </x:row>
    <x:row r="337" ht="27" customHeight="1">
      <x:c r="A337" s="83"/>
      <x:c r="B337" s="83"/>
      <x:c r="C337" s="83"/>
      <x:c r="D337" s="83"/>
      <x:c r="E337" s="83"/>
      <x:c r="F337" s="83"/>
      <x:c r="G337" s="83"/>
      <x:c r="H337" s="83"/>
      <x:c r="I337" s="83"/>
      <x:c r="J337" s="83"/>
      <x:c r="K337" s="83"/>
      <x:c r="L337" s="83"/>
      <x:c r="M337" s="75" t="str">
        <x:f>IF(COUNTA(A337:L337)=0,"",IF(AND(A337&lt;&gt;"",B337&lt;&gt;"",C337="N4",OR(D337="Ngữ pháp",D337="Đọc",D337="Nghe",D337="Từ và kanji",D337="Giao tiếp"),OR(F337="Mới",F337="Ôn lại",F337="Hỗ trợ",F337="Luyện"),ISNUMBER(G337),ISNUMBER(H337),ISNUMBER(I337),ISNUMBER(J337),G337&gt;=0,H337&gt;=G337,I337&gt;=H337,I337&gt;0,J337&gt;=0,MOD(G337,1)=0,MOD(H337,1)=0,MOD(I337,1)=0,COUNTIFS($A$8:A337,A337,$D$8:D337,D337,$F$8:F337,F337)=1),"Hợp lệ","Kiểm tra/trùng"))</x:f>
      </x:c>
    </x:row>
    <x:row r="338" ht="27" customHeight="1">
      <x:c r="A338" s="83"/>
      <x:c r="B338" s="83"/>
      <x:c r="C338" s="83"/>
      <x:c r="D338" s="83"/>
      <x:c r="E338" s="83"/>
      <x:c r="F338" s="83"/>
      <x:c r="G338" s="83"/>
      <x:c r="H338" s="83"/>
      <x:c r="I338" s="83"/>
      <x:c r="J338" s="83"/>
      <x:c r="K338" s="83"/>
      <x:c r="L338" s="83"/>
      <x:c r="M338" s="75" t="str">
        <x:f>IF(COUNTA(A338:L338)=0,"",IF(AND(A338&lt;&gt;"",B338&lt;&gt;"",C338="N4",OR(D338="Ngữ pháp",D338="Đọc",D338="Nghe",D338="Từ và kanji",D338="Giao tiếp"),OR(F338="Mới",F338="Ôn lại",F338="Hỗ trợ",F338="Luyện"),ISNUMBER(G338),ISNUMBER(H338),ISNUMBER(I338),ISNUMBER(J338),G338&gt;=0,H338&gt;=G338,I338&gt;=H338,I338&gt;0,J338&gt;=0,MOD(G338,1)=0,MOD(H338,1)=0,MOD(I338,1)=0,COUNTIFS($A$8:A338,A338,$D$8:D338,D338,$F$8:F338,F338)=1),"Hợp lệ","Kiểm tra/trùng"))</x:f>
      </x:c>
    </x:row>
    <x:row r="339" ht="27" customHeight="1">
      <x:c r="A339" s="83"/>
      <x:c r="B339" s="83"/>
      <x:c r="C339" s="83"/>
      <x:c r="D339" s="83"/>
      <x:c r="E339" s="83"/>
      <x:c r="F339" s="83"/>
      <x:c r="G339" s="83"/>
      <x:c r="H339" s="83"/>
      <x:c r="I339" s="83"/>
      <x:c r="J339" s="83"/>
      <x:c r="K339" s="83"/>
      <x:c r="L339" s="83"/>
      <x:c r="M339" s="75" t="str">
        <x:f>IF(COUNTA(A339:L339)=0,"",IF(AND(A339&lt;&gt;"",B339&lt;&gt;"",C339="N4",OR(D339="Ngữ pháp",D339="Đọc",D339="Nghe",D339="Từ và kanji",D339="Giao tiếp"),OR(F339="Mới",F339="Ôn lại",F339="Hỗ trợ",F339="Luyện"),ISNUMBER(G339),ISNUMBER(H339),ISNUMBER(I339),ISNUMBER(J339),G339&gt;=0,H339&gt;=G339,I339&gt;=H339,I339&gt;0,J339&gt;=0,MOD(G339,1)=0,MOD(H339,1)=0,MOD(I339,1)=0,COUNTIFS($A$8:A339,A339,$D$8:D339,D339,$F$8:F339,F339)=1),"Hợp lệ","Kiểm tra/trùng"))</x:f>
      </x:c>
    </x:row>
    <x:row r="340" ht="27" customHeight="1">
      <x:c r="A340" s="83"/>
      <x:c r="B340" s="83"/>
      <x:c r="C340" s="83"/>
      <x:c r="D340" s="83"/>
      <x:c r="E340" s="83"/>
      <x:c r="F340" s="83"/>
      <x:c r="G340" s="83"/>
      <x:c r="H340" s="83"/>
      <x:c r="I340" s="83"/>
      <x:c r="J340" s="83"/>
      <x:c r="K340" s="83"/>
      <x:c r="L340" s="83"/>
      <x:c r="M340" s="75" t="str">
        <x:f>IF(COUNTA(A340:L340)=0,"",IF(AND(A340&lt;&gt;"",B340&lt;&gt;"",C340="N4",OR(D340="Ngữ pháp",D340="Đọc",D340="Nghe",D340="Từ và kanji",D340="Giao tiếp"),OR(F340="Mới",F340="Ôn lại",F340="Hỗ trợ",F340="Luyện"),ISNUMBER(G340),ISNUMBER(H340),ISNUMBER(I340),ISNUMBER(J340),G340&gt;=0,H340&gt;=G340,I340&gt;=H340,I340&gt;0,J340&gt;=0,MOD(G340,1)=0,MOD(H340,1)=0,MOD(I340,1)=0,COUNTIFS($A$8:A340,A340,$D$8:D340,D340,$F$8:F340,F340)=1),"Hợp lệ","Kiểm tra/trùng"))</x:f>
      </x:c>
    </x:row>
    <x:row r="341" ht="27" customHeight="1">
      <x:c r="A341" s="83"/>
      <x:c r="B341" s="83"/>
      <x:c r="C341" s="83"/>
      <x:c r="D341" s="83"/>
      <x:c r="E341" s="83"/>
      <x:c r="F341" s="83"/>
      <x:c r="G341" s="83"/>
      <x:c r="H341" s="83"/>
      <x:c r="I341" s="83"/>
      <x:c r="J341" s="83"/>
      <x:c r="K341" s="83"/>
      <x:c r="L341" s="83"/>
      <x:c r="M341" s="75" t="str">
        <x:f>IF(COUNTA(A341:L341)=0,"",IF(AND(A341&lt;&gt;"",B341&lt;&gt;"",C341="N4",OR(D341="Ngữ pháp",D341="Đọc",D341="Nghe",D341="Từ và kanji",D341="Giao tiếp"),OR(F341="Mới",F341="Ôn lại",F341="Hỗ trợ",F341="Luyện"),ISNUMBER(G341),ISNUMBER(H341),ISNUMBER(I341),ISNUMBER(J341),G341&gt;=0,H341&gt;=G341,I341&gt;=H341,I341&gt;0,J341&gt;=0,MOD(G341,1)=0,MOD(H341,1)=0,MOD(I341,1)=0,COUNTIFS($A$8:A341,A341,$D$8:D341,D341,$F$8:F341,F341)=1),"Hợp lệ","Kiểm tra/trùng"))</x:f>
      </x:c>
    </x:row>
    <x:row r="342" ht="27" customHeight="1">
      <x:c r="A342" s="83"/>
      <x:c r="B342" s="83"/>
      <x:c r="C342" s="83"/>
      <x:c r="D342" s="83"/>
      <x:c r="E342" s="83"/>
      <x:c r="F342" s="83"/>
      <x:c r="G342" s="83"/>
      <x:c r="H342" s="83"/>
      <x:c r="I342" s="83"/>
      <x:c r="J342" s="83"/>
      <x:c r="K342" s="83"/>
      <x:c r="L342" s="83"/>
      <x:c r="M342" s="75" t="str">
        <x:f>IF(COUNTA(A342:L342)=0,"",IF(AND(A342&lt;&gt;"",B342&lt;&gt;"",C342="N4",OR(D342="Ngữ pháp",D342="Đọc",D342="Nghe",D342="Từ và kanji",D342="Giao tiếp"),OR(F342="Mới",F342="Ôn lại",F342="Hỗ trợ",F342="Luyện"),ISNUMBER(G342),ISNUMBER(H342),ISNUMBER(I342),ISNUMBER(J342),G342&gt;=0,H342&gt;=G342,I342&gt;=H342,I342&gt;0,J342&gt;=0,MOD(G342,1)=0,MOD(H342,1)=0,MOD(I342,1)=0,COUNTIFS($A$8:A342,A342,$D$8:D342,D342,$F$8:F342,F342)=1),"Hợp lệ","Kiểm tra/trùng"))</x:f>
      </x:c>
    </x:row>
    <x:row r="343" ht="27" customHeight="1">
      <x:c r="A343" s="83"/>
      <x:c r="B343" s="83"/>
      <x:c r="C343" s="83"/>
      <x:c r="D343" s="83"/>
      <x:c r="E343" s="83"/>
      <x:c r="F343" s="83"/>
      <x:c r="G343" s="83"/>
      <x:c r="H343" s="83"/>
      <x:c r="I343" s="83"/>
      <x:c r="J343" s="83"/>
      <x:c r="K343" s="83"/>
      <x:c r="L343" s="83"/>
      <x:c r="M343" s="75" t="str">
        <x:f>IF(COUNTA(A343:L343)=0,"",IF(AND(A343&lt;&gt;"",B343&lt;&gt;"",C343="N4",OR(D343="Ngữ pháp",D343="Đọc",D343="Nghe",D343="Từ và kanji",D343="Giao tiếp"),OR(F343="Mới",F343="Ôn lại",F343="Hỗ trợ",F343="Luyện"),ISNUMBER(G343),ISNUMBER(H343),ISNUMBER(I343),ISNUMBER(J343),G343&gt;=0,H343&gt;=G343,I343&gt;=H343,I343&gt;0,J343&gt;=0,MOD(G343,1)=0,MOD(H343,1)=0,MOD(I343,1)=0,COUNTIFS($A$8:A343,A343,$D$8:D343,D343,$F$8:F343,F343)=1),"Hợp lệ","Kiểm tra/trùng"))</x:f>
      </x:c>
    </x:row>
    <x:row r="344" ht="27" customHeight="1">
      <x:c r="A344" s="83"/>
      <x:c r="B344" s="83"/>
      <x:c r="C344" s="83"/>
      <x:c r="D344" s="83"/>
      <x:c r="E344" s="83"/>
      <x:c r="F344" s="83"/>
      <x:c r="G344" s="83"/>
      <x:c r="H344" s="83"/>
      <x:c r="I344" s="83"/>
      <x:c r="J344" s="83"/>
      <x:c r="K344" s="83"/>
      <x:c r="L344" s="83"/>
      <x:c r="M344" s="75" t="str">
        <x:f>IF(COUNTA(A344:L344)=0,"",IF(AND(A344&lt;&gt;"",B344&lt;&gt;"",C344="N4",OR(D344="Ngữ pháp",D344="Đọc",D344="Nghe",D344="Từ và kanji",D344="Giao tiếp"),OR(F344="Mới",F344="Ôn lại",F344="Hỗ trợ",F344="Luyện"),ISNUMBER(G344),ISNUMBER(H344),ISNUMBER(I344),ISNUMBER(J344),G344&gt;=0,H344&gt;=G344,I344&gt;=H344,I344&gt;0,J344&gt;=0,MOD(G344,1)=0,MOD(H344,1)=0,MOD(I344,1)=0,COUNTIFS($A$8:A344,A344,$D$8:D344,D344,$F$8:F344,F344)=1),"Hợp lệ","Kiểm tra/trùng"))</x:f>
      </x:c>
    </x:row>
    <x:row r="345" ht="27" customHeight="1">
      <x:c r="A345" s="83"/>
      <x:c r="B345" s="83"/>
      <x:c r="C345" s="83"/>
      <x:c r="D345" s="83"/>
      <x:c r="E345" s="83"/>
      <x:c r="F345" s="83"/>
      <x:c r="G345" s="83"/>
      <x:c r="H345" s="83"/>
      <x:c r="I345" s="83"/>
      <x:c r="J345" s="83"/>
      <x:c r="K345" s="83"/>
      <x:c r="L345" s="83"/>
      <x:c r="M345" s="75" t="str">
        <x:f>IF(COUNTA(A345:L345)=0,"",IF(AND(A345&lt;&gt;"",B345&lt;&gt;"",C345="N4",OR(D345="Ngữ pháp",D345="Đọc",D345="Nghe",D345="Từ và kanji",D345="Giao tiếp"),OR(F345="Mới",F345="Ôn lại",F345="Hỗ trợ",F345="Luyện"),ISNUMBER(G345),ISNUMBER(H345),ISNUMBER(I345),ISNUMBER(J345),G345&gt;=0,H345&gt;=G345,I345&gt;=H345,I345&gt;0,J345&gt;=0,MOD(G345,1)=0,MOD(H345,1)=0,MOD(I345,1)=0,COUNTIFS($A$8:A345,A345,$D$8:D345,D345,$F$8:F345,F345)=1),"Hợp lệ","Kiểm tra/trùng"))</x:f>
      </x:c>
    </x:row>
    <x:row r="346" ht="27" customHeight="1">
      <x:c r="A346" s="83"/>
      <x:c r="B346" s="83"/>
      <x:c r="C346" s="83"/>
      <x:c r="D346" s="83"/>
      <x:c r="E346" s="83"/>
      <x:c r="F346" s="83"/>
      <x:c r="G346" s="83"/>
      <x:c r="H346" s="83"/>
      <x:c r="I346" s="83"/>
      <x:c r="J346" s="83"/>
      <x:c r="K346" s="83"/>
      <x:c r="L346" s="83"/>
      <x:c r="M346" s="75" t="str">
        <x:f>IF(COUNTA(A346:L346)=0,"",IF(AND(A346&lt;&gt;"",B346&lt;&gt;"",C346="N4",OR(D346="Ngữ pháp",D346="Đọc",D346="Nghe",D346="Từ và kanji",D346="Giao tiếp"),OR(F346="Mới",F346="Ôn lại",F346="Hỗ trợ",F346="Luyện"),ISNUMBER(G346),ISNUMBER(H346),ISNUMBER(I346),ISNUMBER(J346),G346&gt;=0,H346&gt;=G346,I346&gt;=H346,I346&gt;0,J346&gt;=0,MOD(G346,1)=0,MOD(H346,1)=0,MOD(I346,1)=0,COUNTIFS($A$8:A346,A346,$D$8:D346,D346,$F$8:F346,F346)=1),"Hợp lệ","Kiểm tra/trùng"))</x:f>
      </x:c>
    </x:row>
    <x:row r="347" ht="27" customHeight="1">
      <x:c r="A347" s="83"/>
      <x:c r="B347" s="83"/>
      <x:c r="C347" s="83"/>
      <x:c r="D347" s="83"/>
      <x:c r="E347" s="83"/>
      <x:c r="F347" s="83"/>
      <x:c r="G347" s="83"/>
      <x:c r="H347" s="83"/>
      <x:c r="I347" s="83"/>
      <x:c r="J347" s="83"/>
      <x:c r="K347" s="83"/>
      <x:c r="L347" s="83"/>
      <x:c r="M347" s="75" t="str">
        <x:f>IF(COUNTA(A347:L347)=0,"",IF(AND(A347&lt;&gt;"",B347&lt;&gt;"",C347="N4",OR(D347="Ngữ pháp",D347="Đọc",D347="Nghe",D347="Từ và kanji",D347="Giao tiếp"),OR(F347="Mới",F347="Ôn lại",F347="Hỗ trợ",F347="Luyện"),ISNUMBER(G347),ISNUMBER(H347),ISNUMBER(I347),ISNUMBER(J347),G347&gt;=0,H347&gt;=G347,I347&gt;=H347,I347&gt;0,J347&gt;=0,MOD(G347,1)=0,MOD(H347,1)=0,MOD(I347,1)=0,COUNTIFS($A$8:A347,A347,$D$8:D347,D347,$F$8:F347,F347)=1),"Hợp lệ","Kiểm tra/trùng"))</x:f>
      </x:c>
    </x:row>
    <x:row r="348" ht="27" customHeight="1">
      <x:c r="A348" s="83"/>
      <x:c r="B348" s="83"/>
      <x:c r="C348" s="83"/>
      <x:c r="D348" s="83"/>
      <x:c r="E348" s="83"/>
      <x:c r="F348" s="83"/>
      <x:c r="G348" s="83"/>
      <x:c r="H348" s="83"/>
      <x:c r="I348" s="83"/>
      <x:c r="J348" s="83"/>
      <x:c r="K348" s="83"/>
      <x:c r="L348" s="83"/>
      <x:c r="M348" s="75" t="str">
        <x:f>IF(COUNTA(A348:L348)=0,"",IF(AND(A348&lt;&gt;"",B348&lt;&gt;"",C348="N4",OR(D348="Ngữ pháp",D348="Đọc",D348="Nghe",D348="Từ và kanji",D348="Giao tiếp"),OR(F348="Mới",F348="Ôn lại",F348="Hỗ trợ",F348="Luyện"),ISNUMBER(G348),ISNUMBER(H348),ISNUMBER(I348),ISNUMBER(J348),G348&gt;=0,H348&gt;=G348,I348&gt;=H348,I348&gt;0,J348&gt;=0,MOD(G348,1)=0,MOD(H348,1)=0,MOD(I348,1)=0,COUNTIFS($A$8:A348,A348,$D$8:D348,D348,$F$8:F348,F348)=1),"Hợp lệ","Kiểm tra/trùng"))</x:f>
      </x:c>
    </x:row>
    <x:row r="349" ht="27" customHeight="1">
      <x:c r="A349" s="83"/>
      <x:c r="B349" s="83"/>
      <x:c r="C349" s="83"/>
      <x:c r="D349" s="83"/>
      <x:c r="E349" s="83"/>
      <x:c r="F349" s="83"/>
      <x:c r="G349" s="83"/>
      <x:c r="H349" s="83"/>
      <x:c r="I349" s="83"/>
      <x:c r="J349" s="83"/>
      <x:c r="K349" s="83"/>
      <x:c r="L349" s="83"/>
      <x:c r="M349" s="75" t="str">
        <x:f>IF(COUNTA(A349:L349)=0,"",IF(AND(A349&lt;&gt;"",B349&lt;&gt;"",C349="N4",OR(D349="Ngữ pháp",D349="Đọc",D349="Nghe",D349="Từ và kanji",D349="Giao tiếp"),OR(F349="Mới",F349="Ôn lại",F349="Hỗ trợ",F349="Luyện"),ISNUMBER(G349),ISNUMBER(H349),ISNUMBER(I349),ISNUMBER(J349),G349&gt;=0,H349&gt;=G349,I349&gt;=H349,I349&gt;0,J349&gt;=0,MOD(G349,1)=0,MOD(H349,1)=0,MOD(I349,1)=0,COUNTIFS($A$8:A349,A349,$D$8:D349,D349,$F$8:F349,F349)=1),"Hợp lệ","Kiểm tra/trùng"))</x:f>
      </x:c>
    </x:row>
    <x:row r="350" ht="27" customHeight="1">
      <x:c r="A350" s="83"/>
      <x:c r="B350" s="83"/>
      <x:c r="C350" s="83"/>
      <x:c r="D350" s="83"/>
      <x:c r="E350" s="83"/>
      <x:c r="F350" s="83"/>
      <x:c r="G350" s="83"/>
      <x:c r="H350" s="83"/>
      <x:c r="I350" s="83"/>
      <x:c r="J350" s="83"/>
      <x:c r="K350" s="83"/>
      <x:c r="L350" s="83"/>
      <x:c r="M350" s="75" t="str">
        <x:f>IF(COUNTA(A350:L350)=0,"",IF(AND(A350&lt;&gt;"",B350&lt;&gt;"",C350="N4",OR(D350="Ngữ pháp",D350="Đọc",D350="Nghe",D350="Từ và kanji",D350="Giao tiếp"),OR(F350="Mới",F350="Ôn lại",F350="Hỗ trợ",F350="Luyện"),ISNUMBER(G350),ISNUMBER(H350),ISNUMBER(I350),ISNUMBER(J350),G350&gt;=0,H350&gt;=G350,I350&gt;=H350,I350&gt;0,J350&gt;=0,MOD(G350,1)=0,MOD(H350,1)=0,MOD(I350,1)=0,COUNTIFS($A$8:A350,A350,$D$8:D350,D350,$F$8:F350,F350)=1),"Hợp lệ","Kiểm tra/trùng"))</x:f>
      </x:c>
    </x:row>
    <x:row r="351" ht="27" customHeight="1">
      <x:c r="A351" s="83"/>
      <x:c r="B351" s="83"/>
      <x:c r="C351" s="83"/>
      <x:c r="D351" s="83"/>
      <x:c r="E351" s="83"/>
      <x:c r="F351" s="83"/>
      <x:c r="G351" s="83"/>
      <x:c r="H351" s="83"/>
      <x:c r="I351" s="83"/>
      <x:c r="J351" s="83"/>
      <x:c r="K351" s="83"/>
      <x:c r="L351" s="83"/>
      <x:c r="M351" s="75" t="str">
        <x:f>IF(COUNTA(A351:L351)=0,"",IF(AND(A351&lt;&gt;"",B351&lt;&gt;"",C351="N4",OR(D351="Ngữ pháp",D351="Đọc",D351="Nghe",D351="Từ và kanji",D351="Giao tiếp"),OR(F351="Mới",F351="Ôn lại",F351="Hỗ trợ",F351="Luyện"),ISNUMBER(G351),ISNUMBER(H351),ISNUMBER(I351),ISNUMBER(J351),G351&gt;=0,H351&gt;=G351,I351&gt;=H351,I351&gt;0,J351&gt;=0,MOD(G351,1)=0,MOD(H351,1)=0,MOD(I351,1)=0,COUNTIFS($A$8:A351,A351,$D$8:D351,D351,$F$8:F351,F351)=1),"Hợp lệ","Kiểm tra/trùng"))</x:f>
      </x:c>
    </x:row>
    <x:row r="352" ht="27" customHeight="1">
      <x:c r="A352" s="83"/>
      <x:c r="B352" s="83"/>
      <x:c r="C352" s="83"/>
      <x:c r="D352" s="83"/>
      <x:c r="E352" s="83"/>
      <x:c r="F352" s="83"/>
      <x:c r="G352" s="83"/>
      <x:c r="H352" s="83"/>
      <x:c r="I352" s="83"/>
      <x:c r="J352" s="83"/>
      <x:c r="K352" s="83"/>
      <x:c r="L352" s="83"/>
      <x:c r="M352" s="75" t="str">
        <x:f>IF(COUNTA(A352:L352)=0,"",IF(AND(A352&lt;&gt;"",B352&lt;&gt;"",C352="N4",OR(D352="Ngữ pháp",D352="Đọc",D352="Nghe",D352="Từ và kanji",D352="Giao tiếp"),OR(F352="Mới",F352="Ôn lại",F352="Hỗ trợ",F352="Luyện"),ISNUMBER(G352),ISNUMBER(H352),ISNUMBER(I352),ISNUMBER(J352),G352&gt;=0,H352&gt;=G352,I352&gt;=H352,I352&gt;0,J352&gt;=0,MOD(G352,1)=0,MOD(H352,1)=0,MOD(I352,1)=0,COUNTIFS($A$8:A352,A352,$D$8:D352,D352,$F$8:F352,F352)=1),"Hợp lệ","Kiểm tra/trùng"))</x:f>
      </x:c>
    </x:row>
    <x:row r="353" ht="27" customHeight="1">
      <x:c r="A353" s="83"/>
      <x:c r="B353" s="83"/>
      <x:c r="C353" s="83"/>
      <x:c r="D353" s="83"/>
      <x:c r="E353" s="83"/>
      <x:c r="F353" s="83"/>
      <x:c r="G353" s="83"/>
      <x:c r="H353" s="83"/>
      <x:c r="I353" s="83"/>
      <x:c r="J353" s="83"/>
      <x:c r="K353" s="83"/>
      <x:c r="L353" s="83"/>
      <x:c r="M353" s="75" t="str">
        <x:f>IF(COUNTA(A353:L353)=0,"",IF(AND(A353&lt;&gt;"",B353&lt;&gt;"",C353="N4",OR(D353="Ngữ pháp",D353="Đọc",D353="Nghe",D353="Từ và kanji",D353="Giao tiếp"),OR(F353="Mới",F353="Ôn lại",F353="Hỗ trợ",F353="Luyện"),ISNUMBER(G353),ISNUMBER(H353),ISNUMBER(I353),ISNUMBER(J353),G353&gt;=0,H353&gt;=G353,I353&gt;=H353,I353&gt;0,J353&gt;=0,MOD(G353,1)=0,MOD(H353,1)=0,MOD(I353,1)=0,COUNTIFS($A$8:A353,A353,$D$8:D353,D353,$F$8:F353,F353)=1),"Hợp lệ","Kiểm tra/trùng"))</x:f>
      </x:c>
    </x:row>
    <x:row r="354" ht="27" customHeight="1">
      <x:c r="A354" s="83"/>
      <x:c r="B354" s="83"/>
      <x:c r="C354" s="83"/>
      <x:c r="D354" s="83"/>
      <x:c r="E354" s="83"/>
      <x:c r="F354" s="83"/>
      <x:c r="G354" s="83"/>
      <x:c r="H354" s="83"/>
      <x:c r="I354" s="83"/>
      <x:c r="J354" s="83"/>
      <x:c r="K354" s="83"/>
      <x:c r="L354" s="83"/>
      <x:c r="M354" s="75" t="str">
        <x:f>IF(COUNTA(A354:L354)=0,"",IF(AND(A354&lt;&gt;"",B354&lt;&gt;"",C354="N4",OR(D354="Ngữ pháp",D354="Đọc",D354="Nghe",D354="Từ và kanji",D354="Giao tiếp"),OR(F354="Mới",F354="Ôn lại",F354="Hỗ trợ",F354="Luyện"),ISNUMBER(G354),ISNUMBER(H354),ISNUMBER(I354),ISNUMBER(J354),G354&gt;=0,H354&gt;=G354,I354&gt;=H354,I354&gt;0,J354&gt;=0,MOD(G354,1)=0,MOD(H354,1)=0,MOD(I354,1)=0,COUNTIFS($A$8:A354,A354,$D$8:D354,D354,$F$8:F354,F354)=1),"Hợp lệ","Kiểm tra/trùng"))</x:f>
      </x:c>
    </x:row>
    <x:row r="355" ht="27" customHeight="1">
      <x:c r="A355" s="83"/>
      <x:c r="B355" s="83"/>
      <x:c r="C355" s="83"/>
      <x:c r="D355" s="83"/>
      <x:c r="E355" s="83"/>
      <x:c r="F355" s="83"/>
      <x:c r="G355" s="83"/>
      <x:c r="H355" s="83"/>
      <x:c r="I355" s="83"/>
      <x:c r="J355" s="83"/>
      <x:c r="K355" s="83"/>
      <x:c r="L355" s="83"/>
      <x:c r="M355" s="75" t="str">
        <x:f>IF(COUNTA(A355:L355)=0,"",IF(AND(A355&lt;&gt;"",B355&lt;&gt;"",C355="N4",OR(D355="Ngữ pháp",D355="Đọc",D355="Nghe",D355="Từ và kanji",D355="Giao tiếp"),OR(F355="Mới",F355="Ôn lại",F355="Hỗ trợ",F355="Luyện"),ISNUMBER(G355),ISNUMBER(H355),ISNUMBER(I355),ISNUMBER(J355),G355&gt;=0,H355&gt;=G355,I355&gt;=H355,I355&gt;0,J355&gt;=0,MOD(G355,1)=0,MOD(H355,1)=0,MOD(I355,1)=0,COUNTIFS($A$8:A355,A355,$D$8:D355,D355,$F$8:F355,F355)=1),"Hợp lệ","Kiểm tra/trùng"))</x:f>
      </x:c>
    </x:row>
    <x:row r="356" ht="27" customHeight="1">
      <x:c r="A356" s="83"/>
      <x:c r="B356" s="83"/>
      <x:c r="C356" s="83"/>
      <x:c r="D356" s="83"/>
      <x:c r="E356" s="83"/>
      <x:c r="F356" s="83"/>
      <x:c r="G356" s="83"/>
      <x:c r="H356" s="83"/>
      <x:c r="I356" s="83"/>
      <x:c r="J356" s="83"/>
      <x:c r="K356" s="83"/>
      <x:c r="L356" s="83"/>
      <x:c r="M356" s="75" t="str">
        <x:f>IF(COUNTA(A356:L356)=0,"",IF(AND(A356&lt;&gt;"",B356&lt;&gt;"",C356="N4",OR(D356="Ngữ pháp",D356="Đọc",D356="Nghe",D356="Từ và kanji",D356="Giao tiếp"),OR(F356="Mới",F356="Ôn lại",F356="Hỗ trợ",F356="Luyện"),ISNUMBER(G356),ISNUMBER(H356),ISNUMBER(I356),ISNUMBER(J356),G356&gt;=0,H356&gt;=G356,I356&gt;=H356,I356&gt;0,J356&gt;=0,MOD(G356,1)=0,MOD(H356,1)=0,MOD(I356,1)=0,COUNTIFS($A$8:A356,A356,$D$8:D356,D356,$F$8:F356,F356)=1),"Hợp lệ","Kiểm tra/trùng"))</x:f>
      </x:c>
    </x:row>
    <x:row r="357" ht="27" customHeight="1">
      <x:c r="A357" s="83"/>
      <x:c r="B357" s="83"/>
      <x:c r="C357" s="83"/>
      <x:c r="D357" s="83"/>
      <x:c r="E357" s="83"/>
      <x:c r="F357" s="83"/>
      <x:c r="G357" s="83"/>
      <x:c r="H357" s="83"/>
      <x:c r="I357" s="83"/>
      <x:c r="J357" s="83"/>
      <x:c r="K357" s="83"/>
      <x:c r="L357" s="83"/>
      <x:c r="M357" s="75" t="str">
        <x:f>IF(COUNTA(A357:L357)=0,"",IF(AND(A357&lt;&gt;"",B357&lt;&gt;"",C357="N4",OR(D357="Ngữ pháp",D357="Đọc",D357="Nghe",D357="Từ và kanji",D357="Giao tiếp"),OR(F357="Mới",F357="Ôn lại",F357="Hỗ trợ",F357="Luyện"),ISNUMBER(G357),ISNUMBER(H357),ISNUMBER(I357),ISNUMBER(J357),G357&gt;=0,H357&gt;=G357,I357&gt;=H357,I357&gt;0,J357&gt;=0,MOD(G357,1)=0,MOD(H357,1)=0,MOD(I357,1)=0,COUNTIFS($A$8:A357,A357,$D$8:D357,D357,$F$8:F357,F357)=1),"Hợp lệ","Kiểm tra/trùng"))</x:f>
      </x:c>
    </x:row>
    <x:row r="358" ht="27" customHeight="1">
      <x:c r="A358" s="83"/>
      <x:c r="B358" s="83"/>
      <x:c r="C358" s="83"/>
      <x:c r="D358" s="83"/>
      <x:c r="E358" s="83"/>
      <x:c r="F358" s="83"/>
      <x:c r="G358" s="83"/>
      <x:c r="H358" s="83"/>
      <x:c r="I358" s="83"/>
      <x:c r="J358" s="83"/>
      <x:c r="K358" s="83"/>
      <x:c r="L358" s="83"/>
      <x:c r="M358" s="75" t="str">
        <x:f>IF(COUNTA(A358:L358)=0,"",IF(AND(A358&lt;&gt;"",B358&lt;&gt;"",C358="N4",OR(D358="Ngữ pháp",D358="Đọc",D358="Nghe",D358="Từ và kanji",D358="Giao tiếp"),OR(F358="Mới",F358="Ôn lại",F358="Hỗ trợ",F358="Luyện"),ISNUMBER(G358),ISNUMBER(H358),ISNUMBER(I358),ISNUMBER(J358),G358&gt;=0,H358&gt;=G358,I358&gt;=H358,I358&gt;0,J358&gt;=0,MOD(G358,1)=0,MOD(H358,1)=0,MOD(I358,1)=0,COUNTIFS($A$8:A358,A358,$D$8:D358,D358,$F$8:F358,F358)=1),"Hợp lệ","Kiểm tra/trùng"))</x:f>
      </x:c>
    </x:row>
    <x:row r="359" ht="27" customHeight="1">
      <x:c r="A359" s="83"/>
      <x:c r="B359" s="83"/>
      <x:c r="C359" s="83"/>
      <x:c r="D359" s="83"/>
      <x:c r="E359" s="83"/>
      <x:c r="F359" s="83"/>
      <x:c r="G359" s="83"/>
      <x:c r="H359" s="83"/>
      <x:c r="I359" s="83"/>
      <x:c r="J359" s="83"/>
      <x:c r="K359" s="83"/>
      <x:c r="L359" s="83"/>
      <x:c r="M359" s="75" t="str">
        <x:f>IF(COUNTA(A359:L359)=0,"",IF(AND(A359&lt;&gt;"",B359&lt;&gt;"",C359="N4",OR(D359="Ngữ pháp",D359="Đọc",D359="Nghe",D359="Từ và kanji",D359="Giao tiếp"),OR(F359="Mới",F359="Ôn lại",F359="Hỗ trợ",F359="Luyện"),ISNUMBER(G359),ISNUMBER(H359),ISNUMBER(I359),ISNUMBER(J359),G359&gt;=0,H359&gt;=G359,I359&gt;=H359,I359&gt;0,J359&gt;=0,MOD(G359,1)=0,MOD(H359,1)=0,MOD(I359,1)=0,COUNTIFS($A$8:A359,A359,$D$8:D359,D359,$F$8:F359,F359)=1),"Hợp lệ","Kiểm tra/trùng"))</x:f>
      </x:c>
    </x:row>
    <x:row r="360" ht="27" customHeight="1">
      <x:c r="A360" s="83"/>
      <x:c r="B360" s="83"/>
      <x:c r="C360" s="83"/>
      <x:c r="D360" s="83"/>
      <x:c r="E360" s="83"/>
      <x:c r="F360" s="83"/>
      <x:c r="G360" s="83"/>
      <x:c r="H360" s="83"/>
      <x:c r="I360" s="83"/>
      <x:c r="J360" s="83"/>
      <x:c r="K360" s="83"/>
      <x:c r="L360" s="83"/>
      <x:c r="M360" s="75" t="str">
        <x:f>IF(COUNTA(A360:L360)=0,"",IF(AND(A360&lt;&gt;"",B360&lt;&gt;"",C360="N4",OR(D360="Ngữ pháp",D360="Đọc",D360="Nghe",D360="Từ và kanji",D360="Giao tiếp"),OR(F360="Mới",F360="Ôn lại",F360="Hỗ trợ",F360="Luyện"),ISNUMBER(G360),ISNUMBER(H360),ISNUMBER(I360),ISNUMBER(J360),G360&gt;=0,H360&gt;=G360,I360&gt;=H360,I360&gt;0,J360&gt;=0,MOD(G360,1)=0,MOD(H360,1)=0,MOD(I360,1)=0,COUNTIFS($A$8:A360,A360,$D$8:D360,D360,$F$8:F360,F360)=1),"Hợp lệ","Kiểm tra/trùng"))</x:f>
      </x:c>
    </x:row>
    <x:row r="361" ht="27" customHeight="1">
      <x:c r="A361" s="83"/>
      <x:c r="B361" s="83"/>
      <x:c r="C361" s="83"/>
      <x:c r="D361" s="83"/>
      <x:c r="E361" s="83"/>
      <x:c r="F361" s="83"/>
      <x:c r="G361" s="83"/>
      <x:c r="H361" s="83"/>
      <x:c r="I361" s="83"/>
      <x:c r="J361" s="83"/>
      <x:c r="K361" s="83"/>
      <x:c r="L361" s="83"/>
      <x:c r="M361" s="75" t="str">
        <x:f>IF(COUNTA(A361:L361)=0,"",IF(AND(A361&lt;&gt;"",B361&lt;&gt;"",C361="N4",OR(D361="Ngữ pháp",D361="Đọc",D361="Nghe",D361="Từ và kanji",D361="Giao tiếp"),OR(F361="Mới",F361="Ôn lại",F361="Hỗ trợ",F361="Luyện"),ISNUMBER(G361),ISNUMBER(H361),ISNUMBER(I361),ISNUMBER(J361),G361&gt;=0,H361&gt;=G361,I361&gt;=H361,I361&gt;0,J361&gt;=0,MOD(G361,1)=0,MOD(H361,1)=0,MOD(I361,1)=0,COUNTIFS($A$8:A361,A361,$D$8:D361,D361,$F$8:F361,F361)=1),"Hợp lệ","Kiểm tra/trùng"))</x:f>
      </x:c>
    </x:row>
    <x:row r="362" ht="27" customHeight="1">
      <x:c r="A362" s="83"/>
      <x:c r="B362" s="83"/>
      <x:c r="C362" s="83"/>
      <x:c r="D362" s="83"/>
      <x:c r="E362" s="83"/>
      <x:c r="F362" s="83"/>
      <x:c r="G362" s="83"/>
      <x:c r="H362" s="83"/>
      <x:c r="I362" s="83"/>
      <x:c r="J362" s="83"/>
      <x:c r="K362" s="83"/>
      <x:c r="L362" s="83"/>
      <x:c r="M362" s="75" t="str">
        <x:f>IF(COUNTA(A362:L362)=0,"",IF(AND(A362&lt;&gt;"",B362&lt;&gt;"",C362="N4",OR(D362="Ngữ pháp",D362="Đọc",D362="Nghe",D362="Từ và kanji",D362="Giao tiếp"),OR(F362="Mới",F362="Ôn lại",F362="Hỗ trợ",F362="Luyện"),ISNUMBER(G362),ISNUMBER(H362),ISNUMBER(I362),ISNUMBER(J362),G362&gt;=0,H362&gt;=G362,I362&gt;=H362,I362&gt;0,J362&gt;=0,MOD(G362,1)=0,MOD(H362,1)=0,MOD(I362,1)=0,COUNTIFS($A$8:A362,A362,$D$8:D362,D362,$F$8:F362,F362)=1),"Hợp lệ","Kiểm tra/trùng"))</x:f>
      </x:c>
    </x:row>
    <x:row r="363" ht="27" customHeight="1">
      <x:c r="A363" s="83"/>
      <x:c r="B363" s="83"/>
      <x:c r="C363" s="83"/>
      <x:c r="D363" s="83"/>
      <x:c r="E363" s="83"/>
      <x:c r="F363" s="83"/>
      <x:c r="G363" s="83"/>
      <x:c r="H363" s="83"/>
      <x:c r="I363" s="83"/>
      <x:c r="J363" s="83"/>
      <x:c r="K363" s="83"/>
      <x:c r="L363" s="83"/>
      <x:c r="M363" s="75" t="str">
        <x:f>IF(COUNTA(A363:L363)=0,"",IF(AND(A363&lt;&gt;"",B363&lt;&gt;"",C363="N4",OR(D363="Ngữ pháp",D363="Đọc",D363="Nghe",D363="Từ và kanji",D363="Giao tiếp"),OR(F363="Mới",F363="Ôn lại",F363="Hỗ trợ",F363="Luyện"),ISNUMBER(G363),ISNUMBER(H363),ISNUMBER(I363),ISNUMBER(J363),G363&gt;=0,H363&gt;=G363,I363&gt;=H363,I363&gt;0,J363&gt;=0,MOD(G363,1)=0,MOD(H363,1)=0,MOD(I363,1)=0,COUNTIFS($A$8:A363,A363,$D$8:D363,D363,$F$8:F363,F363)=1),"Hợp lệ","Kiểm tra/trùng"))</x:f>
      </x:c>
    </x:row>
    <x:row r="364" ht="27" customHeight="1">
      <x:c r="A364" s="83"/>
      <x:c r="B364" s="83"/>
      <x:c r="C364" s="83"/>
      <x:c r="D364" s="83"/>
      <x:c r="E364" s="83"/>
      <x:c r="F364" s="83"/>
      <x:c r="G364" s="83"/>
      <x:c r="H364" s="83"/>
      <x:c r="I364" s="83"/>
      <x:c r="J364" s="83"/>
      <x:c r="K364" s="83"/>
      <x:c r="L364" s="83"/>
      <x:c r="M364" s="75" t="str">
        <x:f>IF(COUNTA(A364:L364)=0,"",IF(AND(A364&lt;&gt;"",B364&lt;&gt;"",C364="N4",OR(D364="Ngữ pháp",D364="Đọc",D364="Nghe",D364="Từ và kanji",D364="Giao tiếp"),OR(F364="Mới",F364="Ôn lại",F364="Hỗ trợ",F364="Luyện"),ISNUMBER(G364),ISNUMBER(H364),ISNUMBER(I364),ISNUMBER(J364),G364&gt;=0,H364&gt;=G364,I364&gt;=H364,I364&gt;0,J364&gt;=0,MOD(G364,1)=0,MOD(H364,1)=0,MOD(I364,1)=0,COUNTIFS($A$8:A364,A364,$D$8:D364,D364,$F$8:F364,F364)=1),"Hợp lệ","Kiểm tra/trùng"))</x:f>
      </x:c>
    </x:row>
    <x:row r="365" ht="27" customHeight="1">
      <x:c r="A365" s="83"/>
      <x:c r="B365" s="83"/>
      <x:c r="C365" s="83"/>
      <x:c r="D365" s="83"/>
      <x:c r="E365" s="83"/>
      <x:c r="F365" s="83"/>
      <x:c r="G365" s="83"/>
      <x:c r="H365" s="83"/>
      <x:c r="I365" s="83"/>
      <x:c r="J365" s="83"/>
      <x:c r="K365" s="83"/>
      <x:c r="L365" s="83"/>
      <x:c r="M365" s="75" t="str">
        <x:f>IF(COUNTA(A365:L365)=0,"",IF(AND(A365&lt;&gt;"",B365&lt;&gt;"",C365="N4",OR(D365="Ngữ pháp",D365="Đọc",D365="Nghe",D365="Từ và kanji",D365="Giao tiếp"),OR(F365="Mới",F365="Ôn lại",F365="Hỗ trợ",F365="Luyện"),ISNUMBER(G365),ISNUMBER(H365),ISNUMBER(I365),ISNUMBER(J365),G365&gt;=0,H365&gt;=G365,I365&gt;=H365,I365&gt;0,J365&gt;=0,MOD(G365,1)=0,MOD(H365,1)=0,MOD(I365,1)=0,COUNTIFS($A$8:A365,A365,$D$8:D365,D365,$F$8:F365,F365)=1),"Hợp lệ","Kiểm tra/trùng"))</x:f>
      </x:c>
    </x:row>
    <x:row r="366" ht="27" customHeight="1">
      <x:c r="A366" s="83"/>
      <x:c r="B366" s="83"/>
      <x:c r="C366" s="83"/>
      <x:c r="D366" s="83"/>
      <x:c r="E366" s="83"/>
      <x:c r="F366" s="83"/>
      <x:c r="G366" s="83"/>
      <x:c r="H366" s="83"/>
      <x:c r="I366" s="83"/>
      <x:c r="J366" s="83"/>
      <x:c r="K366" s="83"/>
      <x:c r="L366" s="83"/>
      <x:c r="M366" s="75" t="str">
        <x:f>IF(COUNTA(A366:L366)=0,"",IF(AND(A366&lt;&gt;"",B366&lt;&gt;"",C366="N4",OR(D366="Ngữ pháp",D366="Đọc",D366="Nghe",D366="Từ và kanji",D366="Giao tiếp"),OR(F366="Mới",F366="Ôn lại",F366="Hỗ trợ",F366="Luyện"),ISNUMBER(G366),ISNUMBER(H366),ISNUMBER(I366),ISNUMBER(J366),G366&gt;=0,H366&gt;=G366,I366&gt;=H366,I366&gt;0,J366&gt;=0,MOD(G366,1)=0,MOD(H366,1)=0,MOD(I366,1)=0,COUNTIFS($A$8:A366,A366,$D$8:D366,D366,$F$8:F366,F366)=1),"Hợp lệ","Kiểm tra/trùng"))</x:f>
      </x:c>
    </x:row>
    <x:row r="367" ht="27" customHeight="1">
      <x:c r="A367" s="83"/>
      <x:c r="B367" s="83"/>
      <x:c r="C367" s="83"/>
      <x:c r="D367" s="83"/>
      <x:c r="E367" s="83"/>
      <x:c r="F367" s="83"/>
      <x:c r="G367" s="83"/>
      <x:c r="H367" s="83"/>
      <x:c r="I367" s="83"/>
      <x:c r="J367" s="83"/>
      <x:c r="K367" s="83"/>
      <x:c r="L367" s="83"/>
      <x:c r="M367" s="75" t="str">
        <x:f>IF(COUNTA(A367:L367)=0,"",IF(AND(A367&lt;&gt;"",B367&lt;&gt;"",C367="N4",OR(D367="Ngữ pháp",D367="Đọc",D367="Nghe",D367="Từ và kanji",D367="Giao tiếp"),OR(F367="Mới",F367="Ôn lại",F367="Hỗ trợ",F367="Luyện"),ISNUMBER(G367),ISNUMBER(H367),ISNUMBER(I367),ISNUMBER(J367),G367&gt;=0,H367&gt;=G367,I367&gt;=H367,I367&gt;0,J367&gt;=0,MOD(G367,1)=0,MOD(H367,1)=0,MOD(I367,1)=0,COUNTIFS($A$8:A367,A367,$D$8:D367,D367,$F$8:F367,F367)=1),"Hợp lệ","Kiểm tra/trùng"))</x:f>
      </x:c>
    </x:row>
    <x:row r="368" ht="27" customHeight="1">
      <x:c r="A368" s="83"/>
      <x:c r="B368" s="83"/>
      <x:c r="C368" s="83"/>
      <x:c r="D368" s="83"/>
      <x:c r="E368" s="83"/>
      <x:c r="F368" s="83"/>
      <x:c r="G368" s="83"/>
      <x:c r="H368" s="83"/>
      <x:c r="I368" s="83"/>
      <x:c r="J368" s="83"/>
      <x:c r="K368" s="83"/>
      <x:c r="L368" s="83"/>
      <x:c r="M368" s="75" t="str">
        <x:f>IF(COUNTA(A368:L368)=0,"",IF(AND(A368&lt;&gt;"",B368&lt;&gt;"",C368="N4",OR(D368="Ngữ pháp",D368="Đọc",D368="Nghe",D368="Từ và kanji",D368="Giao tiếp"),OR(F368="Mới",F368="Ôn lại",F368="Hỗ trợ",F368="Luyện"),ISNUMBER(G368),ISNUMBER(H368),ISNUMBER(I368),ISNUMBER(J368),G368&gt;=0,H368&gt;=G368,I368&gt;=H368,I368&gt;0,J368&gt;=0,MOD(G368,1)=0,MOD(H368,1)=0,MOD(I368,1)=0,COUNTIFS($A$8:A368,A368,$D$8:D368,D368,$F$8:F368,F368)=1),"Hợp lệ","Kiểm tra/trùng"))</x:f>
      </x:c>
    </x:row>
    <x:row r="369" ht="27" customHeight="1">
      <x:c r="A369" s="83"/>
      <x:c r="B369" s="83"/>
      <x:c r="C369" s="83"/>
      <x:c r="D369" s="83"/>
      <x:c r="E369" s="83"/>
      <x:c r="F369" s="83"/>
      <x:c r="G369" s="83"/>
      <x:c r="H369" s="83"/>
      <x:c r="I369" s="83"/>
      <x:c r="J369" s="83"/>
      <x:c r="K369" s="83"/>
      <x:c r="L369" s="83"/>
      <x:c r="M369" s="75" t="str">
        <x:f>IF(COUNTA(A369:L369)=0,"",IF(AND(A369&lt;&gt;"",B369&lt;&gt;"",C369="N4",OR(D369="Ngữ pháp",D369="Đọc",D369="Nghe",D369="Từ và kanji",D369="Giao tiếp"),OR(F369="Mới",F369="Ôn lại",F369="Hỗ trợ",F369="Luyện"),ISNUMBER(G369),ISNUMBER(H369),ISNUMBER(I369),ISNUMBER(J369),G369&gt;=0,H369&gt;=G369,I369&gt;=H369,I369&gt;0,J369&gt;=0,MOD(G369,1)=0,MOD(H369,1)=0,MOD(I369,1)=0,COUNTIFS($A$8:A369,A369,$D$8:D369,D369,$F$8:F369,F369)=1),"Hợp lệ","Kiểm tra/trùng"))</x:f>
      </x:c>
    </x:row>
    <x:row r="370" ht="27" customHeight="1">
      <x:c r="A370" s="83"/>
      <x:c r="B370" s="83"/>
      <x:c r="C370" s="83"/>
      <x:c r="D370" s="83"/>
      <x:c r="E370" s="83"/>
      <x:c r="F370" s="83"/>
      <x:c r="G370" s="83"/>
      <x:c r="H370" s="83"/>
      <x:c r="I370" s="83"/>
      <x:c r="J370" s="83"/>
      <x:c r="K370" s="83"/>
      <x:c r="L370" s="83"/>
      <x:c r="M370" s="75" t="str">
        <x:f>IF(COUNTA(A370:L370)=0,"",IF(AND(A370&lt;&gt;"",B370&lt;&gt;"",C370="N4",OR(D370="Ngữ pháp",D370="Đọc",D370="Nghe",D370="Từ và kanji",D370="Giao tiếp"),OR(F370="Mới",F370="Ôn lại",F370="Hỗ trợ",F370="Luyện"),ISNUMBER(G370),ISNUMBER(H370),ISNUMBER(I370),ISNUMBER(J370),G370&gt;=0,H370&gt;=G370,I370&gt;=H370,I370&gt;0,J370&gt;=0,MOD(G370,1)=0,MOD(H370,1)=0,MOD(I370,1)=0,COUNTIFS($A$8:A370,A370,$D$8:D370,D370,$F$8:F370,F370)=1),"Hợp lệ","Kiểm tra/trùng"))</x:f>
      </x:c>
    </x:row>
    <x:row r="371" ht="27" customHeight="1">
      <x:c r="A371" s="83"/>
      <x:c r="B371" s="83"/>
      <x:c r="C371" s="83"/>
      <x:c r="D371" s="83"/>
      <x:c r="E371" s="83"/>
      <x:c r="F371" s="83"/>
      <x:c r="G371" s="83"/>
      <x:c r="H371" s="83"/>
      <x:c r="I371" s="83"/>
      <x:c r="J371" s="83"/>
      <x:c r="K371" s="83"/>
      <x:c r="L371" s="83"/>
      <x:c r="M371" s="75" t="str">
        <x:f>IF(COUNTA(A371:L371)=0,"",IF(AND(A371&lt;&gt;"",B371&lt;&gt;"",C371="N4",OR(D371="Ngữ pháp",D371="Đọc",D371="Nghe",D371="Từ và kanji",D371="Giao tiếp"),OR(F371="Mới",F371="Ôn lại",F371="Hỗ trợ",F371="Luyện"),ISNUMBER(G371),ISNUMBER(H371),ISNUMBER(I371),ISNUMBER(J371),G371&gt;=0,H371&gt;=G371,I371&gt;=H371,I371&gt;0,J371&gt;=0,MOD(G371,1)=0,MOD(H371,1)=0,MOD(I371,1)=0,COUNTIFS($A$8:A371,A371,$D$8:D371,D371,$F$8:F371,F371)=1),"Hợp lệ","Kiểm tra/trùng"))</x:f>
      </x:c>
    </x:row>
    <x:row r="372" ht="27" customHeight="1">
      <x:c r="A372" s="83"/>
      <x:c r="B372" s="83"/>
      <x:c r="C372" s="83"/>
      <x:c r="D372" s="83"/>
      <x:c r="E372" s="83"/>
      <x:c r="F372" s="83"/>
      <x:c r="G372" s="83"/>
      <x:c r="H372" s="83"/>
      <x:c r="I372" s="83"/>
      <x:c r="J372" s="83"/>
      <x:c r="K372" s="83"/>
      <x:c r="L372" s="83"/>
      <x:c r="M372" s="75" t="str">
        <x:f>IF(COUNTA(A372:L372)=0,"",IF(AND(A372&lt;&gt;"",B372&lt;&gt;"",C372="N4",OR(D372="Ngữ pháp",D372="Đọc",D372="Nghe",D372="Từ và kanji",D372="Giao tiếp"),OR(F372="Mới",F372="Ôn lại",F372="Hỗ trợ",F372="Luyện"),ISNUMBER(G372),ISNUMBER(H372),ISNUMBER(I372),ISNUMBER(J372),G372&gt;=0,H372&gt;=G372,I372&gt;=H372,I372&gt;0,J372&gt;=0,MOD(G372,1)=0,MOD(H372,1)=0,MOD(I372,1)=0,COUNTIFS($A$8:A372,A372,$D$8:D372,D372,$F$8:F372,F372)=1),"Hợp lệ","Kiểm tra/trùng"))</x:f>
      </x:c>
    </x:row>
    <x:row r="373" ht="27" customHeight="1">
      <x:c r="A373" s="83"/>
      <x:c r="B373" s="83"/>
      <x:c r="C373" s="83"/>
      <x:c r="D373" s="83"/>
      <x:c r="E373" s="83"/>
      <x:c r="F373" s="83"/>
      <x:c r="G373" s="83"/>
      <x:c r="H373" s="83"/>
      <x:c r="I373" s="83"/>
      <x:c r="J373" s="83"/>
      <x:c r="K373" s="83"/>
      <x:c r="L373" s="83"/>
      <x:c r="M373" s="75" t="str">
        <x:f>IF(COUNTA(A373:L373)=0,"",IF(AND(A373&lt;&gt;"",B373&lt;&gt;"",C373="N4",OR(D373="Ngữ pháp",D373="Đọc",D373="Nghe",D373="Từ và kanji",D373="Giao tiếp"),OR(F373="Mới",F373="Ôn lại",F373="Hỗ trợ",F373="Luyện"),ISNUMBER(G373),ISNUMBER(H373),ISNUMBER(I373),ISNUMBER(J373),G373&gt;=0,H373&gt;=G373,I373&gt;=H373,I373&gt;0,J373&gt;=0,MOD(G373,1)=0,MOD(H373,1)=0,MOD(I373,1)=0,COUNTIFS($A$8:A373,A373,$D$8:D373,D373,$F$8:F373,F373)=1),"Hợp lệ","Kiểm tra/trùng"))</x:f>
      </x:c>
    </x:row>
    <x:row r="374" ht="27" customHeight="1">
      <x:c r="A374" s="83"/>
      <x:c r="B374" s="83"/>
      <x:c r="C374" s="83"/>
      <x:c r="D374" s="83"/>
      <x:c r="E374" s="83"/>
      <x:c r="F374" s="83"/>
      <x:c r="G374" s="83"/>
      <x:c r="H374" s="83"/>
      <x:c r="I374" s="83"/>
      <x:c r="J374" s="83"/>
      <x:c r="K374" s="83"/>
      <x:c r="L374" s="83"/>
      <x:c r="M374" s="75" t="str">
        <x:f>IF(COUNTA(A374:L374)=0,"",IF(AND(A374&lt;&gt;"",B374&lt;&gt;"",C374="N4",OR(D374="Ngữ pháp",D374="Đọc",D374="Nghe",D374="Từ và kanji",D374="Giao tiếp"),OR(F374="Mới",F374="Ôn lại",F374="Hỗ trợ",F374="Luyện"),ISNUMBER(G374),ISNUMBER(H374),ISNUMBER(I374),ISNUMBER(J374),G374&gt;=0,H374&gt;=G374,I374&gt;=H374,I374&gt;0,J374&gt;=0,MOD(G374,1)=0,MOD(H374,1)=0,MOD(I374,1)=0,COUNTIFS($A$8:A374,A374,$D$8:D374,D374,$F$8:F374,F374)=1),"Hợp lệ","Kiểm tra/trùng"))</x:f>
      </x:c>
    </x:row>
    <x:row r="375" ht="27" customHeight="1">
      <x:c r="A375" s="83"/>
      <x:c r="B375" s="83"/>
      <x:c r="C375" s="83"/>
      <x:c r="D375" s="83"/>
      <x:c r="E375" s="83"/>
      <x:c r="F375" s="83"/>
      <x:c r="G375" s="83"/>
      <x:c r="H375" s="83"/>
      <x:c r="I375" s="83"/>
      <x:c r="J375" s="83"/>
      <x:c r="K375" s="83"/>
      <x:c r="L375" s="83"/>
      <x:c r="M375" s="75" t="str">
        <x:f>IF(COUNTA(A375:L375)=0,"",IF(AND(A375&lt;&gt;"",B375&lt;&gt;"",C375="N4",OR(D375="Ngữ pháp",D375="Đọc",D375="Nghe",D375="Từ và kanji",D375="Giao tiếp"),OR(F375="Mới",F375="Ôn lại",F375="Hỗ trợ",F375="Luyện"),ISNUMBER(G375),ISNUMBER(H375),ISNUMBER(I375),ISNUMBER(J375),G375&gt;=0,H375&gt;=G375,I375&gt;=H375,I375&gt;0,J375&gt;=0,MOD(G375,1)=0,MOD(H375,1)=0,MOD(I375,1)=0,COUNTIFS($A$8:A375,A375,$D$8:D375,D375,$F$8:F375,F375)=1),"Hợp lệ","Kiểm tra/trùng"))</x:f>
      </x:c>
    </x:row>
    <x:row r="376" ht="27" customHeight="1">
      <x:c r="A376" s="83"/>
      <x:c r="B376" s="83"/>
      <x:c r="C376" s="83"/>
      <x:c r="D376" s="83"/>
      <x:c r="E376" s="83"/>
      <x:c r="F376" s="83"/>
      <x:c r="G376" s="83"/>
      <x:c r="H376" s="83"/>
      <x:c r="I376" s="83"/>
      <x:c r="J376" s="83"/>
      <x:c r="K376" s="83"/>
      <x:c r="L376" s="83"/>
      <x:c r="M376" s="75" t="str">
        <x:f>IF(COUNTA(A376:L376)=0,"",IF(AND(A376&lt;&gt;"",B376&lt;&gt;"",C376="N4",OR(D376="Ngữ pháp",D376="Đọc",D376="Nghe",D376="Từ và kanji",D376="Giao tiếp"),OR(F376="Mới",F376="Ôn lại",F376="Hỗ trợ",F376="Luyện"),ISNUMBER(G376),ISNUMBER(H376),ISNUMBER(I376),ISNUMBER(J376),G376&gt;=0,H376&gt;=G376,I376&gt;=H376,I376&gt;0,J376&gt;=0,MOD(G376,1)=0,MOD(H376,1)=0,MOD(I376,1)=0,COUNTIFS($A$8:A376,A376,$D$8:D376,D376,$F$8:F376,F376)=1),"Hợp lệ","Kiểm tra/trùng"))</x:f>
      </x:c>
    </x:row>
    <x:row r="377" ht="27" customHeight="1">
      <x:c r="A377" s="83"/>
      <x:c r="B377" s="83"/>
      <x:c r="C377" s="83"/>
      <x:c r="D377" s="83"/>
      <x:c r="E377" s="83"/>
      <x:c r="F377" s="83"/>
      <x:c r="G377" s="83"/>
      <x:c r="H377" s="83"/>
      <x:c r="I377" s="83"/>
      <x:c r="J377" s="83"/>
      <x:c r="K377" s="83"/>
      <x:c r="L377" s="83"/>
      <x:c r="M377" s="75" t="str">
        <x:f>IF(COUNTA(A377:L377)=0,"",IF(AND(A377&lt;&gt;"",B377&lt;&gt;"",C377="N4",OR(D377="Ngữ pháp",D377="Đọc",D377="Nghe",D377="Từ và kanji",D377="Giao tiếp"),OR(F377="Mới",F377="Ôn lại",F377="Hỗ trợ",F377="Luyện"),ISNUMBER(G377),ISNUMBER(H377),ISNUMBER(I377),ISNUMBER(J377),G377&gt;=0,H377&gt;=G377,I377&gt;=H377,I377&gt;0,J377&gt;=0,MOD(G377,1)=0,MOD(H377,1)=0,MOD(I377,1)=0,COUNTIFS($A$8:A377,A377,$D$8:D377,D377,$F$8:F377,F377)=1),"Hợp lệ","Kiểm tra/trùng"))</x:f>
      </x:c>
    </x:row>
    <x:row r="378" ht="27" customHeight="1">
      <x:c r="A378" s="83"/>
      <x:c r="B378" s="83"/>
      <x:c r="C378" s="83"/>
      <x:c r="D378" s="83"/>
      <x:c r="E378" s="83"/>
      <x:c r="F378" s="83"/>
      <x:c r="G378" s="83"/>
      <x:c r="H378" s="83"/>
      <x:c r="I378" s="83"/>
      <x:c r="J378" s="83"/>
      <x:c r="K378" s="83"/>
      <x:c r="L378" s="83"/>
      <x:c r="M378" s="75" t="str">
        <x:f>IF(COUNTA(A378:L378)=0,"",IF(AND(A378&lt;&gt;"",B378&lt;&gt;"",C378="N4",OR(D378="Ngữ pháp",D378="Đọc",D378="Nghe",D378="Từ và kanji",D378="Giao tiếp"),OR(F378="Mới",F378="Ôn lại",F378="Hỗ trợ",F378="Luyện"),ISNUMBER(G378),ISNUMBER(H378),ISNUMBER(I378),ISNUMBER(J378),G378&gt;=0,H378&gt;=G378,I378&gt;=H378,I378&gt;0,J378&gt;=0,MOD(G378,1)=0,MOD(H378,1)=0,MOD(I378,1)=0,COUNTIFS($A$8:A378,A378,$D$8:D378,D378,$F$8:F378,F378)=1),"Hợp lệ","Kiểm tra/trùng"))</x:f>
      </x:c>
    </x:row>
    <x:row r="379" ht="27" customHeight="1">
      <x:c r="A379" s="83"/>
      <x:c r="B379" s="83"/>
      <x:c r="C379" s="83"/>
      <x:c r="D379" s="83"/>
      <x:c r="E379" s="83"/>
      <x:c r="F379" s="83"/>
      <x:c r="G379" s="83"/>
      <x:c r="H379" s="83"/>
      <x:c r="I379" s="83"/>
      <x:c r="J379" s="83"/>
      <x:c r="K379" s="83"/>
      <x:c r="L379" s="83"/>
      <x:c r="M379" s="75" t="str">
        <x:f>IF(COUNTA(A379:L379)=0,"",IF(AND(A379&lt;&gt;"",B379&lt;&gt;"",C379="N4",OR(D379="Ngữ pháp",D379="Đọc",D379="Nghe",D379="Từ và kanji",D379="Giao tiếp"),OR(F379="Mới",F379="Ôn lại",F379="Hỗ trợ",F379="Luyện"),ISNUMBER(G379),ISNUMBER(H379),ISNUMBER(I379),ISNUMBER(J379),G379&gt;=0,H379&gt;=G379,I379&gt;=H379,I379&gt;0,J379&gt;=0,MOD(G379,1)=0,MOD(H379,1)=0,MOD(I379,1)=0,COUNTIFS($A$8:A379,A379,$D$8:D379,D379,$F$8:F379,F379)=1),"Hợp lệ","Kiểm tra/trùng"))</x:f>
      </x:c>
    </x:row>
    <x:row r="380" ht="27" customHeight="1">
      <x:c r="A380" s="83"/>
      <x:c r="B380" s="83"/>
      <x:c r="C380" s="83"/>
      <x:c r="D380" s="83"/>
      <x:c r="E380" s="83"/>
      <x:c r="F380" s="83"/>
      <x:c r="G380" s="83"/>
      <x:c r="H380" s="83"/>
      <x:c r="I380" s="83"/>
      <x:c r="J380" s="83"/>
      <x:c r="K380" s="83"/>
      <x:c r="L380" s="83"/>
      <x:c r="M380" s="75" t="str">
        <x:f>IF(COUNTA(A380:L380)=0,"",IF(AND(A380&lt;&gt;"",B380&lt;&gt;"",C380="N4",OR(D380="Ngữ pháp",D380="Đọc",D380="Nghe",D380="Từ và kanji",D380="Giao tiếp"),OR(F380="Mới",F380="Ôn lại",F380="Hỗ trợ",F380="Luyện"),ISNUMBER(G380),ISNUMBER(H380),ISNUMBER(I380),ISNUMBER(J380),G380&gt;=0,H380&gt;=G380,I380&gt;=H380,I380&gt;0,J380&gt;=0,MOD(G380,1)=0,MOD(H380,1)=0,MOD(I380,1)=0,COUNTIFS($A$8:A380,A380,$D$8:D380,D380,$F$8:F380,F380)=1),"Hợp lệ","Kiểm tra/trùng"))</x:f>
      </x:c>
    </x:row>
    <x:row r="381" ht="27" customHeight="1">
      <x:c r="A381" s="83"/>
      <x:c r="B381" s="83"/>
      <x:c r="C381" s="83"/>
      <x:c r="D381" s="83"/>
      <x:c r="E381" s="83"/>
      <x:c r="F381" s="83"/>
      <x:c r="G381" s="83"/>
      <x:c r="H381" s="83"/>
      <x:c r="I381" s="83"/>
      <x:c r="J381" s="83"/>
      <x:c r="K381" s="83"/>
      <x:c r="L381" s="83"/>
      <x:c r="M381" s="75" t="str">
        <x:f>IF(COUNTA(A381:L381)=0,"",IF(AND(A381&lt;&gt;"",B381&lt;&gt;"",C381="N4",OR(D381="Ngữ pháp",D381="Đọc",D381="Nghe",D381="Từ và kanji",D381="Giao tiếp"),OR(F381="Mới",F381="Ôn lại",F381="Hỗ trợ",F381="Luyện"),ISNUMBER(G381),ISNUMBER(H381),ISNUMBER(I381),ISNUMBER(J381),G381&gt;=0,H381&gt;=G381,I381&gt;=H381,I381&gt;0,J381&gt;=0,MOD(G381,1)=0,MOD(H381,1)=0,MOD(I381,1)=0,COUNTIFS($A$8:A381,A381,$D$8:D381,D381,$F$8:F381,F381)=1),"Hợp lệ","Kiểm tra/trùng"))</x:f>
      </x:c>
    </x:row>
    <x:row r="382" ht="27" customHeight="1">
      <x:c r="A382" s="83"/>
      <x:c r="B382" s="83"/>
      <x:c r="C382" s="83"/>
      <x:c r="D382" s="83"/>
      <x:c r="E382" s="83"/>
      <x:c r="F382" s="83"/>
      <x:c r="G382" s="83"/>
      <x:c r="H382" s="83"/>
      <x:c r="I382" s="83"/>
      <x:c r="J382" s="83"/>
      <x:c r="K382" s="83"/>
      <x:c r="L382" s="83"/>
      <x:c r="M382" s="75" t="str">
        <x:f>IF(COUNTA(A382:L382)=0,"",IF(AND(A382&lt;&gt;"",B382&lt;&gt;"",C382="N4",OR(D382="Ngữ pháp",D382="Đọc",D382="Nghe",D382="Từ và kanji",D382="Giao tiếp"),OR(F382="Mới",F382="Ôn lại",F382="Hỗ trợ",F382="Luyện"),ISNUMBER(G382),ISNUMBER(H382),ISNUMBER(I382),ISNUMBER(J382),G382&gt;=0,H382&gt;=G382,I382&gt;=H382,I382&gt;0,J382&gt;=0,MOD(G382,1)=0,MOD(H382,1)=0,MOD(I382,1)=0,COUNTIFS($A$8:A382,A382,$D$8:D382,D382,$F$8:F382,F382)=1),"Hợp lệ","Kiểm tra/trùng"))</x:f>
      </x:c>
    </x:row>
    <x:row r="383" ht="27" customHeight="1">
      <x:c r="A383" s="83"/>
      <x:c r="B383" s="83"/>
      <x:c r="C383" s="83"/>
      <x:c r="D383" s="83"/>
      <x:c r="E383" s="83"/>
      <x:c r="F383" s="83"/>
      <x:c r="G383" s="83"/>
      <x:c r="H383" s="83"/>
      <x:c r="I383" s="83"/>
      <x:c r="J383" s="83"/>
      <x:c r="K383" s="83"/>
      <x:c r="L383" s="83"/>
      <x:c r="M383" s="75" t="str">
        <x:f>IF(COUNTA(A383:L383)=0,"",IF(AND(A383&lt;&gt;"",B383&lt;&gt;"",C383="N4",OR(D383="Ngữ pháp",D383="Đọc",D383="Nghe",D383="Từ và kanji",D383="Giao tiếp"),OR(F383="Mới",F383="Ôn lại",F383="Hỗ trợ",F383="Luyện"),ISNUMBER(G383),ISNUMBER(H383),ISNUMBER(I383),ISNUMBER(J383),G383&gt;=0,H383&gt;=G383,I383&gt;=H383,I383&gt;0,J383&gt;=0,MOD(G383,1)=0,MOD(H383,1)=0,MOD(I383,1)=0,COUNTIFS($A$8:A383,A383,$D$8:D383,D383,$F$8:F383,F383)=1),"Hợp lệ","Kiểm tra/trùng"))</x:f>
      </x:c>
    </x:row>
    <x:row r="384" ht="27" customHeight="1">
      <x:c r="A384" s="83"/>
      <x:c r="B384" s="83"/>
      <x:c r="C384" s="83"/>
      <x:c r="D384" s="83"/>
      <x:c r="E384" s="83"/>
      <x:c r="F384" s="83"/>
      <x:c r="G384" s="83"/>
      <x:c r="H384" s="83"/>
      <x:c r="I384" s="83"/>
      <x:c r="J384" s="83"/>
      <x:c r="K384" s="83"/>
      <x:c r="L384" s="83"/>
      <x:c r="M384" s="75" t="str">
        <x:f>IF(COUNTA(A384:L384)=0,"",IF(AND(A384&lt;&gt;"",B384&lt;&gt;"",C384="N4",OR(D384="Ngữ pháp",D384="Đọc",D384="Nghe",D384="Từ và kanji",D384="Giao tiếp"),OR(F384="Mới",F384="Ôn lại",F384="Hỗ trợ",F384="Luyện"),ISNUMBER(G384),ISNUMBER(H384),ISNUMBER(I384),ISNUMBER(J384),G384&gt;=0,H384&gt;=G384,I384&gt;=H384,I384&gt;0,J384&gt;=0,MOD(G384,1)=0,MOD(H384,1)=0,MOD(I384,1)=0,COUNTIFS($A$8:A384,A384,$D$8:D384,D384,$F$8:F384,F384)=1),"Hợp lệ","Kiểm tra/trùng"))</x:f>
      </x:c>
    </x:row>
    <x:row r="385" ht="27" customHeight="1">
      <x:c r="A385" s="83"/>
      <x:c r="B385" s="83"/>
      <x:c r="C385" s="83"/>
      <x:c r="D385" s="83"/>
      <x:c r="E385" s="83"/>
      <x:c r="F385" s="83"/>
      <x:c r="G385" s="83"/>
      <x:c r="H385" s="83"/>
      <x:c r="I385" s="83"/>
      <x:c r="J385" s="83"/>
      <x:c r="K385" s="83"/>
      <x:c r="L385" s="83"/>
      <x:c r="M385" s="75" t="str">
        <x:f>IF(COUNTA(A385:L385)=0,"",IF(AND(A385&lt;&gt;"",B385&lt;&gt;"",C385="N4",OR(D385="Ngữ pháp",D385="Đọc",D385="Nghe",D385="Từ và kanji",D385="Giao tiếp"),OR(F385="Mới",F385="Ôn lại",F385="Hỗ trợ",F385="Luyện"),ISNUMBER(G385),ISNUMBER(H385),ISNUMBER(I385),ISNUMBER(J385),G385&gt;=0,H385&gt;=G385,I385&gt;=H385,I385&gt;0,J385&gt;=0,MOD(G385,1)=0,MOD(H385,1)=0,MOD(I385,1)=0,COUNTIFS($A$8:A385,A385,$D$8:D385,D385,$F$8:F385,F385)=1),"Hợp lệ","Kiểm tra/trùng"))</x:f>
      </x:c>
    </x:row>
    <x:row r="386" ht="27" customHeight="1">
      <x:c r="A386" s="83"/>
      <x:c r="B386" s="83"/>
      <x:c r="C386" s="83"/>
      <x:c r="D386" s="83"/>
      <x:c r="E386" s="83"/>
      <x:c r="F386" s="83"/>
      <x:c r="G386" s="83"/>
      <x:c r="H386" s="83"/>
      <x:c r="I386" s="83"/>
      <x:c r="J386" s="83"/>
      <x:c r="K386" s="83"/>
      <x:c r="L386" s="83"/>
      <x:c r="M386" s="75" t="str">
        <x:f>IF(COUNTA(A386:L386)=0,"",IF(AND(A386&lt;&gt;"",B386&lt;&gt;"",C386="N4",OR(D386="Ngữ pháp",D386="Đọc",D386="Nghe",D386="Từ và kanji",D386="Giao tiếp"),OR(F386="Mới",F386="Ôn lại",F386="Hỗ trợ",F386="Luyện"),ISNUMBER(G386),ISNUMBER(H386),ISNUMBER(I386),ISNUMBER(J386),G386&gt;=0,H386&gt;=G386,I386&gt;=H386,I386&gt;0,J386&gt;=0,MOD(G386,1)=0,MOD(H386,1)=0,MOD(I386,1)=0,COUNTIFS($A$8:A386,A386,$D$8:D386,D386,$F$8:F386,F386)=1),"Hợp lệ","Kiểm tra/trùng"))</x:f>
      </x:c>
    </x:row>
    <x:row r="387" ht="27" customHeight="1">
      <x:c r="A387" s="83"/>
      <x:c r="B387" s="83"/>
      <x:c r="C387" s="83"/>
      <x:c r="D387" s="83"/>
      <x:c r="E387" s="83"/>
      <x:c r="F387" s="83"/>
      <x:c r="G387" s="83"/>
      <x:c r="H387" s="83"/>
      <x:c r="I387" s="83"/>
      <x:c r="J387" s="83"/>
      <x:c r="K387" s="83"/>
      <x:c r="L387" s="83"/>
      <x:c r="M387" s="75" t="str">
        <x:f>IF(COUNTA(A387:L387)=0,"",IF(AND(A387&lt;&gt;"",B387&lt;&gt;"",C387="N4",OR(D387="Ngữ pháp",D387="Đọc",D387="Nghe",D387="Từ và kanji",D387="Giao tiếp"),OR(F387="Mới",F387="Ôn lại",F387="Hỗ trợ",F387="Luyện"),ISNUMBER(G387),ISNUMBER(H387),ISNUMBER(I387),ISNUMBER(J387),G387&gt;=0,H387&gt;=G387,I387&gt;=H387,I387&gt;0,J387&gt;=0,MOD(G387,1)=0,MOD(H387,1)=0,MOD(I387,1)=0,COUNTIFS($A$8:A387,A387,$D$8:D387,D387,$F$8:F387,F387)=1),"Hợp lệ","Kiểm tra/trùng"))</x:f>
      </x:c>
    </x:row>
    <x:row r="388" ht="27" customHeight="1">
      <x:c r="A388" s="83"/>
      <x:c r="B388" s="83"/>
      <x:c r="C388" s="83"/>
      <x:c r="D388" s="83"/>
      <x:c r="E388" s="83"/>
      <x:c r="F388" s="83"/>
      <x:c r="G388" s="83"/>
      <x:c r="H388" s="83"/>
      <x:c r="I388" s="83"/>
      <x:c r="J388" s="83"/>
      <x:c r="K388" s="83"/>
      <x:c r="L388" s="83"/>
      <x:c r="M388" s="75" t="str">
        <x:f>IF(COUNTA(A388:L388)=0,"",IF(AND(A388&lt;&gt;"",B388&lt;&gt;"",C388="N4",OR(D388="Ngữ pháp",D388="Đọc",D388="Nghe",D388="Từ và kanji",D388="Giao tiếp"),OR(F388="Mới",F388="Ôn lại",F388="Hỗ trợ",F388="Luyện"),ISNUMBER(G388),ISNUMBER(H388),ISNUMBER(I388),ISNUMBER(J388),G388&gt;=0,H388&gt;=G388,I388&gt;=H388,I388&gt;0,J388&gt;=0,MOD(G388,1)=0,MOD(H388,1)=0,MOD(I388,1)=0,COUNTIFS($A$8:A388,A388,$D$8:D388,D388,$F$8:F388,F388)=1),"Hợp lệ","Kiểm tra/trùng"))</x:f>
      </x:c>
    </x:row>
    <x:row r="389" ht="27" customHeight="1">
      <x:c r="A389" s="83"/>
      <x:c r="B389" s="83"/>
      <x:c r="C389" s="83"/>
      <x:c r="D389" s="83"/>
      <x:c r="E389" s="83"/>
      <x:c r="F389" s="83"/>
      <x:c r="G389" s="83"/>
      <x:c r="H389" s="83"/>
      <x:c r="I389" s="83"/>
      <x:c r="J389" s="83"/>
      <x:c r="K389" s="83"/>
      <x:c r="L389" s="83"/>
      <x:c r="M389" s="75" t="str">
        <x:f>IF(COUNTA(A389:L389)=0,"",IF(AND(A389&lt;&gt;"",B389&lt;&gt;"",C389="N4",OR(D389="Ngữ pháp",D389="Đọc",D389="Nghe",D389="Từ và kanji",D389="Giao tiếp"),OR(F389="Mới",F389="Ôn lại",F389="Hỗ trợ",F389="Luyện"),ISNUMBER(G389),ISNUMBER(H389),ISNUMBER(I389),ISNUMBER(J389),G389&gt;=0,H389&gt;=G389,I389&gt;=H389,I389&gt;0,J389&gt;=0,MOD(G389,1)=0,MOD(H389,1)=0,MOD(I389,1)=0,COUNTIFS($A$8:A389,A389,$D$8:D389,D389,$F$8:F389,F389)=1),"Hợp lệ","Kiểm tra/trùng"))</x:f>
      </x:c>
    </x:row>
    <x:row r="390" ht="27" customHeight="1">
      <x:c r="A390" s="83"/>
      <x:c r="B390" s="83"/>
      <x:c r="C390" s="83"/>
      <x:c r="D390" s="83"/>
      <x:c r="E390" s="83"/>
      <x:c r="F390" s="83"/>
      <x:c r="G390" s="83"/>
      <x:c r="H390" s="83"/>
      <x:c r="I390" s="83"/>
      <x:c r="J390" s="83"/>
      <x:c r="K390" s="83"/>
      <x:c r="L390" s="83"/>
      <x:c r="M390" s="75" t="str">
        <x:f>IF(COUNTA(A390:L390)=0,"",IF(AND(A390&lt;&gt;"",B390&lt;&gt;"",C390="N4",OR(D390="Ngữ pháp",D390="Đọc",D390="Nghe",D390="Từ và kanji",D390="Giao tiếp"),OR(F390="Mới",F390="Ôn lại",F390="Hỗ trợ",F390="Luyện"),ISNUMBER(G390),ISNUMBER(H390),ISNUMBER(I390),ISNUMBER(J390),G390&gt;=0,H390&gt;=G390,I390&gt;=H390,I390&gt;0,J390&gt;=0,MOD(G390,1)=0,MOD(H390,1)=0,MOD(I390,1)=0,COUNTIFS($A$8:A390,A390,$D$8:D390,D390,$F$8:F390,F390)=1),"Hợp lệ","Kiểm tra/trùng"))</x:f>
      </x:c>
    </x:row>
    <x:row r="391" ht="27" customHeight="1">
      <x:c r="A391" s="83"/>
      <x:c r="B391" s="83"/>
      <x:c r="C391" s="83"/>
      <x:c r="D391" s="83"/>
      <x:c r="E391" s="83"/>
      <x:c r="F391" s="83"/>
      <x:c r="G391" s="83"/>
      <x:c r="H391" s="83"/>
      <x:c r="I391" s="83"/>
      <x:c r="J391" s="83"/>
      <x:c r="K391" s="83"/>
      <x:c r="L391" s="83"/>
      <x:c r="M391" s="75" t="str">
        <x:f>IF(COUNTA(A391:L391)=0,"",IF(AND(A391&lt;&gt;"",B391&lt;&gt;"",C391="N4",OR(D391="Ngữ pháp",D391="Đọc",D391="Nghe",D391="Từ và kanji",D391="Giao tiếp"),OR(F391="Mới",F391="Ôn lại",F391="Hỗ trợ",F391="Luyện"),ISNUMBER(G391),ISNUMBER(H391),ISNUMBER(I391),ISNUMBER(J391),G391&gt;=0,H391&gt;=G391,I391&gt;=H391,I391&gt;0,J391&gt;=0,MOD(G391,1)=0,MOD(H391,1)=0,MOD(I391,1)=0,COUNTIFS($A$8:A391,A391,$D$8:D391,D391,$F$8:F391,F391)=1),"Hợp lệ","Kiểm tra/trùng"))</x:f>
      </x:c>
    </x:row>
    <x:row r="392" ht="27" customHeight="1">
      <x:c r="A392" s="83"/>
      <x:c r="B392" s="83"/>
      <x:c r="C392" s="83"/>
      <x:c r="D392" s="83"/>
      <x:c r="E392" s="83"/>
      <x:c r="F392" s="83"/>
      <x:c r="G392" s="83"/>
      <x:c r="H392" s="83"/>
      <x:c r="I392" s="83"/>
      <x:c r="J392" s="83"/>
      <x:c r="K392" s="83"/>
      <x:c r="L392" s="83"/>
      <x:c r="M392" s="75" t="str">
        <x:f>IF(COUNTA(A392:L392)=0,"",IF(AND(A392&lt;&gt;"",B392&lt;&gt;"",C392="N4",OR(D392="Ngữ pháp",D392="Đọc",D392="Nghe",D392="Từ và kanji",D392="Giao tiếp"),OR(F392="Mới",F392="Ôn lại",F392="Hỗ trợ",F392="Luyện"),ISNUMBER(G392),ISNUMBER(H392),ISNUMBER(I392),ISNUMBER(J392),G392&gt;=0,H392&gt;=G392,I392&gt;=H392,I392&gt;0,J392&gt;=0,MOD(G392,1)=0,MOD(H392,1)=0,MOD(I392,1)=0,COUNTIFS($A$8:A392,A392,$D$8:D392,D392,$F$8:F392,F392)=1),"Hợp lệ","Kiểm tra/trùng"))</x:f>
      </x:c>
    </x:row>
    <x:row r="393" ht="27" customHeight="1">
      <x:c r="A393" s="83"/>
      <x:c r="B393" s="83"/>
      <x:c r="C393" s="83"/>
      <x:c r="D393" s="83"/>
      <x:c r="E393" s="83"/>
      <x:c r="F393" s="83"/>
      <x:c r="G393" s="83"/>
      <x:c r="H393" s="83"/>
      <x:c r="I393" s="83"/>
      <x:c r="J393" s="83"/>
      <x:c r="K393" s="83"/>
      <x:c r="L393" s="83"/>
      <x:c r="M393" s="75" t="str">
        <x:f>IF(COUNTA(A393:L393)=0,"",IF(AND(A393&lt;&gt;"",B393&lt;&gt;"",C393="N4",OR(D393="Ngữ pháp",D393="Đọc",D393="Nghe",D393="Từ và kanji",D393="Giao tiếp"),OR(F393="Mới",F393="Ôn lại",F393="Hỗ trợ",F393="Luyện"),ISNUMBER(G393),ISNUMBER(H393),ISNUMBER(I393),ISNUMBER(J393),G393&gt;=0,H393&gt;=G393,I393&gt;=H393,I393&gt;0,J393&gt;=0,MOD(G393,1)=0,MOD(H393,1)=0,MOD(I393,1)=0,COUNTIFS($A$8:A393,A393,$D$8:D393,D393,$F$8:F393,F393)=1),"Hợp lệ","Kiểm tra/trùng"))</x:f>
      </x:c>
    </x:row>
    <x:row r="394" ht="27" customHeight="1">
      <x:c r="A394" s="83"/>
      <x:c r="B394" s="83"/>
      <x:c r="C394" s="83"/>
      <x:c r="D394" s="83"/>
      <x:c r="E394" s="83"/>
      <x:c r="F394" s="83"/>
      <x:c r="G394" s="83"/>
      <x:c r="H394" s="83"/>
      <x:c r="I394" s="83"/>
      <x:c r="J394" s="83"/>
      <x:c r="K394" s="83"/>
      <x:c r="L394" s="83"/>
      <x:c r="M394" s="75" t="str">
        <x:f>IF(COUNTA(A394:L394)=0,"",IF(AND(A394&lt;&gt;"",B394&lt;&gt;"",C394="N4",OR(D394="Ngữ pháp",D394="Đọc",D394="Nghe",D394="Từ và kanji",D394="Giao tiếp"),OR(F394="Mới",F394="Ôn lại",F394="Hỗ trợ",F394="Luyện"),ISNUMBER(G394),ISNUMBER(H394),ISNUMBER(I394),ISNUMBER(J394),G394&gt;=0,H394&gt;=G394,I394&gt;=H394,I394&gt;0,J394&gt;=0,MOD(G394,1)=0,MOD(H394,1)=0,MOD(I394,1)=0,COUNTIFS($A$8:A394,A394,$D$8:D394,D394,$F$8:F394,F394)=1),"Hợp lệ","Kiểm tra/trùng"))</x:f>
      </x:c>
    </x:row>
    <x:row r="395" ht="27" customHeight="1">
      <x:c r="A395" s="83"/>
      <x:c r="B395" s="83"/>
      <x:c r="C395" s="83"/>
      <x:c r="D395" s="83"/>
      <x:c r="E395" s="83"/>
      <x:c r="F395" s="83"/>
      <x:c r="G395" s="83"/>
      <x:c r="H395" s="83"/>
      <x:c r="I395" s="83"/>
      <x:c r="J395" s="83"/>
      <x:c r="K395" s="83"/>
      <x:c r="L395" s="83"/>
      <x:c r="M395" s="75" t="str">
        <x:f>IF(COUNTA(A395:L395)=0,"",IF(AND(A395&lt;&gt;"",B395&lt;&gt;"",C395="N4",OR(D395="Ngữ pháp",D395="Đọc",D395="Nghe",D395="Từ và kanji",D395="Giao tiếp"),OR(F395="Mới",F395="Ôn lại",F395="Hỗ trợ",F395="Luyện"),ISNUMBER(G395),ISNUMBER(H395),ISNUMBER(I395),ISNUMBER(J395),G395&gt;=0,H395&gt;=G395,I395&gt;=H395,I395&gt;0,J395&gt;=0,MOD(G395,1)=0,MOD(H395,1)=0,MOD(I395,1)=0,COUNTIFS($A$8:A395,A395,$D$8:D395,D395,$F$8:F395,F395)=1),"Hợp lệ","Kiểm tra/trùng"))</x:f>
      </x:c>
    </x:row>
    <x:row r="396" ht="27" customHeight="1">
      <x:c r="A396" s="83"/>
      <x:c r="B396" s="83"/>
      <x:c r="C396" s="83"/>
      <x:c r="D396" s="83"/>
      <x:c r="E396" s="83"/>
      <x:c r="F396" s="83"/>
      <x:c r="G396" s="83"/>
      <x:c r="H396" s="83"/>
      <x:c r="I396" s="83"/>
      <x:c r="J396" s="83"/>
      <x:c r="K396" s="83"/>
      <x:c r="L396" s="83"/>
      <x:c r="M396" s="75" t="str">
        <x:f>IF(COUNTA(A396:L396)=0,"",IF(AND(A396&lt;&gt;"",B396&lt;&gt;"",C396="N4",OR(D396="Ngữ pháp",D396="Đọc",D396="Nghe",D396="Từ và kanji",D396="Giao tiếp"),OR(F396="Mới",F396="Ôn lại",F396="Hỗ trợ",F396="Luyện"),ISNUMBER(G396),ISNUMBER(H396),ISNUMBER(I396),ISNUMBER(J396),G396&gt;=0,H396&gt;=G396,I396&gt;=H396,I396&gt;0,J396&gt;=0,MOD(G396,1)=0,MOD(H396,1)=0,MOD(I396,1)=0,COUNTIFS($A$8:A396,A396,$D$8:D396,D396,$F$8:F396,F396)=1),"Hợp lệ","Kiểm tra/trùng"))</x:f>
      </x:c>
    </x:row>
    <x:row r="397" ht="27" customHeight="1">
      <x:c r="A397" s="83"/>
      <x:c r="B397" s="83"/>
      <x:c r="C397" s="83"/>
      <x:c r="D397" s="83"/>
      <x:c r="E397" s="83"/>
      <x:c r="F397" s="83"/>
      <x:c r="G397" s="83"/>
      <x:c r="H397" s="83"/>
      <x:c r="I397" s="83"/>
      <x:c r="J397" s="83"/>
      <x:c r="K397" s="83"/>
      <x:c r="L397" s="83"/>
      <x:c r="M397" s="75" t="str">
        <x:f>IF(COUNTA(A397:L397)=0,"",IF(AND(A397&lt;&gt;"",B397&lt;&gt;"",C397="N4",OR(D397="Ngữ pháp",D397="Đọc",D397="Nghe",D397="Từ và kanji",D397="Giao tiếp"),OR(F397="Mới",F397="Ôn lại",F397="Hỗ trợ",F397="Luyện"),ISNUMBER(G397),ISNUMBER(H397),ISNUMBER(I397),ISNUMBER(J397),G397&gt;=0,H397&gt;=G397,I397&gt;=H397,I397&gt;0,J397&gt;=0,MOD(G397,1)=0,MOD(H397,1)=0,MOD(I397,1)=0,COUNTIFS($A$8:A397,A397,$D$8:D397,D397,$F$8:F397,F397)=1),"Hợp lệ","Kiểm tra/trùng"))</x:f>
      </x:c>
    </x:row>
    <x:row r="398" ht="27" customHeight="1">
      <x:c r="A398" s="83"/>
      <x:c r="B398" s="83"/>
      <x:c r="C398" s="83"/>
      <x:c r="D398" s="83"/>
      <x:c r="E398" s="83"/>
      <x:c r="F398" s="83"/>
      <x:c r="G398" s="83"/>
      <x:c r="H398" s="83"/>
      <x:c r="I398" s="83"/>
      <x:c r="J398" s="83"/>
      <x:c r="K398" s="83"/>
      <x:c r="L398" s="83"/>
      <x:c r="M398" s="75" t="str">
        <x:f>IF(COUNTA(A398:L398)=0,"",IF(AND(A398&lt;&gt;"",B398&lt;&gt;"",C398="N4",OR(D398="Ngữ pháp",D398="Đọc",D398="Nghe",D398="Từ và kanji",D398="Giao tiếp"),OR(F398="Mới",F398="Ôn lại",F398="Hỗ trợ",F398="Luyện"),ISNUMBER(G398),ISNUMBER(H398),ISNUMBER(I398),ISNUMBER(J398),G398&gt;=0,H398&gt;=G398,I398&gt;=H398,I398&gt;0,J398&gt;=0,MOD(G398,1)=0,MOD(H398,1)=0,MOD(I398,1)=0,COUNTIFS($A$8:A398,A398,$D$8:D398,D398,$F$8:F398,F398)=1),"Hợp lệ","Kiểm tra/trùng"))</x:f>
      </x:c>
    </x:row>
    <x:row r="399" ht="27" customHeight="1">
      <x:c r="A399" s="83"/>
      <x:c r="B399" s="83"/>
      <x:c r="C399" s="83"/>
      <x:c r="D399" s="83"/>
      <x:c r="E399" s="83"/>
      <x:c r="F399" s="83"/>
      <x:c r="G399" s="83"/>
      <x:c r="H399" s="83"/>
      <x:c r="I399" s="83"/>
      <x:c r="J399" s="83"/>
      <x:c r="K399" s="83"/>
      <x:c r="L399" s="83"/>
      <x:c r="M399" s="75" t="str">
        <x:f>IF(COUNTA(A399:L399)=0,"",IF(AND(A399&lt;&gt;"",B399&lt;&gt;"",C399="N4",OR(D399="Ngữ pháp",D399="Đọc",D399="Nghe",D399="Từ và kanji",D399="Giao tiếp"),OR(F399="Mới",F399="Ôn lại",F399="Hỗ trợ",F399="Luyện"),ISNUMBER(G399),ISNUMBER(H399),ISNUMBER(I399),ISNUMBER(J399),G399&gt;=0,H399&gt;=G399,I399&gt;=H399,I399&gt;0,J399&gt;=0,MOD(G399,1)=0,MOD(H399,1)=0,MOD(I399,1)=0,COUNTIFS($A$8:A399,A399,$D$8:D399,D399,$F$8:F399,F399)=1),"Hợp lệ","Kiểm tra/trùng"))</x:f>
      </x:c>
    </x:row>
    <x:row r="400" ht="27" customHeight="1">
      <x:c r="A400" s="83"/>
      <x:c r="B400" s="83"/>
      <x:c r="C400" s="83"/>
      <x:c r="D400" s="83"/>
      <x:c r="E400" s="83"/>
      <x:c r="F400" s="83"/>
      <x:c r="G400" s="83"/>
      <x:c r="H400" s="83"/>
      <x:c r="I400" s="83"/>
      <x:c r="J400" s="83"/>
      <x:c r="K400" s="83"/>
      <x:c r="L400" s="83"/>
      <x:c r="M400" s="75" t="str">
        <x:f>IF(COUNTA(A400:L400)=0,"",IF(AND(A400&lt;&gt;"",B400&lt;&gt;"",C400="N4",OR(D400="Ngữ pháp",D400="Đọc",D400="Nghe",D400="Từ và kanji",D400="Giao tiếp"),OR(F400="Mới",F400="Ôn lại",F400="Hỗ trợ",F400="Luyện"),ISNUMBER(G400),ISNUMBER(H400),ISNUMBER(I400),ISNUMBER(J400),G400&gt;=0,H400&gt;=G400,I400&gt;=H400,I400&gt;0,J400&gt;=0,MOD(G400,1)=0,MOD(H400,1)=0,MOD(I400,1)=0,COUNTIFS($A$8:A400,A400,$D$8:D400,D400,$F$8:F400,F400)=1),"Hợp lệ","Kiểm tra/trùng"))</x:f>
      </x:c>
    </x:row>
    <x:row r="401" ht="27" customHeight="1">
      <x:c r="A401" s="83"/>
      <x:c r="B401" s="83"/>
      <x:c r="C401" s="83"/>
      <x:c r="D401" s="83"/>
      <x:c r="E401" s="83"/>
      <x:c r="F401" s="83"/>
      <x:c r="G401" s="83"/>
      <x:c r="H401" s="83"/>
      <x:c r="I401" s="83"/>
      <x:c r="J401" s="83"/>
      <x:c r="K401" s="83"/>
      <x:c r="L401" s="83"/>
      <x:c r="M401" s="75" t="str">
        <x:f>IF(COUNTA(A401:L401)=0,"",IF(AND(A401&lt;&gt;"",B401&lt;&gt;"",C401="N4",OR(D401="Ngữ pháp",D401="Đọc",D401="Nghe",D401="Từ và kanji",D401="Giao tiếp"),OR(F401="Mới",F401="Ôn lại",F401="Hỗ trợ",F401="Luyện"),ISNUMBER(G401),ISNUMBER(H401),ISNUMBER(I401),ISNUMBER(J401),G401&gt;=0,H401&gt;=G401,I401&gt;=H401,I401&gt;0,J401&gt;=0,MOD(G401,1)=0,MOD(H401,1)=0,MOD(I401,1)=0,COUNTIFS($A$8:A401,A401,$D$8:D401,D401,$F$8:F401,F401)=1),"Hợp lệ","Kiểm tra/trùng"))</x:f>
      </x:c>
    </x:row>
    <x:row r="402" ht="27" customHeight="1">
      <x:c r="A402" s="83"/>
      <x:c r="B402" s="83"/>
      <x:c r="C402" s="83"/>
      <x:c r="D402" s="83"/>
      <x:c r="E402" s="83"/>
      <x:c r="F402" s="83"/>
      <x:c r="G402" s="83"/>
      <x:c r="H402" s="83"/>
      <x:c r="I402" s="83"/>
      <x:c r="J402" s="83"/>
      <x:c r="K402" s="83"/>
      <x:c r="L402" s="83"/>
      <x:c r="M402" s="75" t="str">
        <x:f>IF(COUNTA(A402:L402)=0,"",IF(AND(A402&lt;&gt;"",B402&lt;&gt;"",C402="N4",OR(D402="Ngữ pháp",D402="Đọc",D402="Nghe",D402="Từ và kanji",D402="Giao tiếp"),OR(F402="Mới",F402="Ôn lại",F402="Hỗ trợ",F402="Luyện"),ISNUMBER(G402),ISNUMBER(H402),ISNUMBER(I402),ISNUMBER(J402),G402&gt;=0,H402&gt;=G402,I402&gt;=H402,I402&gt;0,J402&gt;=0,MOD(G402,1)=0,MOD(H402,1)=0,MOD(I402,1)=0,COUNTIFS($A$8:A402,A402,$D$8:D402,D402,$F$8:F402,F402)=1),"Hợp lệ","Kiểm tra/trùng"))</x:f>
      </x:c>
    </x:row>
    <x:row r="403" ht="27" customHeight="1">
      <x:c r="A403" s="83"/>
      <x:c r="B403" s="83"/>
      <x:c r="C403" s="83"/>
      <x:c r="D403" s="83"/>
      <x:c r="E403" s="83"/>
      <x:c r="F403" s="83"/>
      <x:c r="G403" s="83"/>
      <x:c r="H403" s="83"/>
      <x:c r="I403" s="83"/>
      <x:c r="J403" s="83"/>
      <x:c r="K403" s="83"/>
      <x:c r="L403" s="83"/>
      <x:c r="M403" s="75" t="str">
        <x:f>IF(COUNTA(A403:L403)=0,"",IF(AND(A403&lt;&gt;"",B403&lt;&gt;"",C403="N4",OR(D403="Ngữ pháp",D403="Đọc",D403="Nghe",D403="Từ và kanji",D403="Giao tiếp"),OR(F403="Mới",F403="Ôn lại",F403="Hỗ trợ",F403="Luyện"),ISNUMBER(G403),ISNUMBER(H403),ISNUMBER(I403),ISNUMBER(J403),G403&gt;=0,H403&gt;=G403,I403&gt;=H403,I403&gt;0,J403&gt;=0,MOD(G403,1)=0,MOD(H403,1)=0,MOD(I403,1)=0,COUNTIFS($A$8:A403,A403,$D$8:D403,D403,$F$8:F403,F403)=1),"Hợp lệ","Kiểm tra/trùng"))</x:f>
      </x:c>
    </x:row>
    <x:row r="404" ht="27" customHeight="1">
      <x:c r="A404" s="83"/>
      <x:c r="B404" s="83"/>
      <x:c r="C404" s="83"/>
      <x:c r="D404" s="83"/>
      <x:c r="E404" s="83"/>
      <x:c r="F404" s="83"/>
      <x:c r="G404" s="83"/>
      <x:c r="H404" s="83"/>
      <x:c r="I404" s="83"/>
      <x:c r="J404" s="83"/>
      <x:c r="K404" s="83"/>
      <x:c r="L404" s="83"/>
      <x:c r="M404" s="75" t="str">
        <x:f>IF(COUNTA(A404:L404)=0,"",IF(AND(A404&lt;&gt;"",B404&lt;&gt;"",C404="N4",OR(D404="Ngữ pháp",D404="Đọc",D404="Nghe",D404="Từ và kanji",D404="Giao tiếp"),OR(F404="Mới",F404="Ôn lại",F404="Hỗ trợ",F404="Luyện"),ISNUMBER(G404),ISNUMBER(H404),ISNUMBER(I404),ISNUMBER(J404),G404&gt;=0,H404&gt;=G404,I404&gt;=H404,I404&gt;0,J404&gt;=0,MOD(G404,1)=0,MOD(H404,1)=0,MOD(I404,1)=0,COUNTIFS($A$8:A404,A404,$D$8:D404,D404,$F$8:F404,F404)=1),"Hợp lệ","Kiểm tra/trùng"))</x:f>
      </x:c>
    </x:row>
    <x:row r="405" ht="27" customHeight="1">
      <x:c r="A405" s="83"/>
      <x:c r="B405" s="83"/>
      <x:c r="C405" s="83"/>
      <x:c r="D405" s="83"/>
      <x:c r="E405" s="83"/>
      <x:c r="F405" s="83"/>
      <x:c r="G405" s="83"/>
      <x:c r="H405" s="83"/>
      <x:c r="I405" s="83"/>
      <x:c r="J405" s="83"/>
      <x:c r="K405" s="83"/>
      <x:c r="L405" s="83"/>
      <x:c r="M405" s="75" t="str">
        <x:f>IF(COUNTA(A405:L405)=0,"",IF(AND(A405&lt;&gt;"",B405&lt;&gt;"",C405="N4",OR(D405="Ngữ pháp",D405="Đọc",D405="Nghe",D405="Từ và kanji",D405="Giao tiếp"),OR(F405="Mới",F405="Ôn lại",F405="Hỗ trợ",F405="Luyện"),ISNUMBER(G405),ISNUMBER(H405),ISNUMBER(I405),ISNUMBER(J405),G405&gt;=0,H405&gt;=G405,I405&gt;=H405,I405&gt;0,J405&gt;=0,MOD(G405,1)=0,MOD(H405,1)=0,MOD(I405,1)=0,COUNTIFS($A$8:A405,A405,$D$8:D405,D405,$F$8:F405,F405)=1),"Hợp lệ","Kiểm tra/trùng"))</x:f>
      </x:c>
    </x:row>
    <x:row r="406" ht="27" customHeight="1">
      <x:c r="A406" s="83"/>
      <x:c r="B406" s="83"/>
      <x:c r="C406" s="83"/>
      <x:c r="D406" s="83"/>
      <x:c r="E406" s="83"/>
      <x:c r="F406" s="83"/>
      <x:c r="G406" s="83"/>
      <x:c r="H406" s="83"/>
      <x:c r="I406" s="83"/>
      <x:c r="J406" s="83"/>
      <x:c r="K406" s="83"/>
      <x:c r="L406" s="83"/>
      <x:c r="M406" s="75" t="str">
        <x:f>IF(COUNTA(A406:L406)=0,"",IF(AND(A406&lt;&gt;"",B406&lt;&gt;"",C406="N4",OR(D406="Ngữ pháp",D406="Đọc",D406="Nghe",D406="Từ và kanji",D406="Giao tiếp"),OR(F406="Mới",F406="Ôn lại",F406="Hỗ trợ",F406="Luyện"),ISNUMBER(G406),ISNUMBER(H406),ISNUMBER(I406),ISNUMBER(J406),G406&gt;=0,H406&gt;=G406,I406&gt;=H406,I406&gt;0,J406&gt;=0,MOD(G406,1)=0,MOD(H406,1)=0,MOD(I406,1)=0,COUNTIFS($A$8:A406,A406,$D$8:D406,D406,$F$8:F406,F406)=1),"Hợp lệ","Kiểm tra/trùng"))</x:f>
      </x:c>
    </x:row>
    <x:row r="407" ht="27" customHeight="1">
      <x:c r="A407" s="83"/>
      <x:c r="B407" s="83"/>
      <x:c r="C407" s="83"/>
      <x:c r="D407" s="83"/>
      <x:c r="E407" s="83"/>
      <x:c r="F407" s="83"/>
      <x:c r="G407" s="83"/>
      <x:c r="H407" s="83"/>
      <x:c r="I407" s="83"/>
      <x:c r="J407" s="83"/>
      <x:c r="K407" s="83"/>
      <x:c r="L407" s="83"/>
      <x:c r="M407" s="75" t="str">
        <x:f>IF(COUNTA(A407:L407)=0,"",IF(AND(A407&lt;&gt;"",B407&lt;&gt;"",C407="N4",OR(D407="Ngữ pháp",D407="Đọc",D407="Nghe",D407="Từ và kanji",D407="Giao tiếp"),OR(F407="Mới",F407="Ôn lại",F407="Hỗ trợ",F407="Luyện"),ISNUMBER(G407),ISNUMBER(H407),ISNUMBER(I407),ISNUMBER(J407),G407&gt;=0,H407&gt;=G407,I407&gt;=H407,I407&gt;0,J407&gt;=0,MOD(G407,1)=0,MOD(H407,1)=0,MOD(I407,1)=0,COUNTIFS($A$8:A407,A407,$D$8:D407,D407,$F$8:F407,F407)=1),"Hợp lệ","Kiểm tra/trùng"))</x:f>
      </x:c>
    </x:row>
    <x:row r="408" ht="27" customHeight="1">
      <x:c r="A408" s="83"/>
      <x:c r="B408" s="83"/>
      <x:c r="C408" s="83"/>
      <x:c r="D408" s="83"/>
      <x:c r="E408" s="83"/>
      <x:c r="F408" s="83"/>
      <x:c r="G408" s="83"/>
      <x:c r="H408" s="83"/>
      <x:c r="I408" s="83"/>
      <x:c r="J408" s="83"/>
      <x:c r="K408" s="83"/>
      <x:c r="L408" s="83"/>
      <x:c r="M408" s="75" t="str">
        <x:f>IF(COUNTA(A408:L408)=0,"",IF(AND(A408&lt;&gt;"",B408&lt;&gt;"",C408="N4",OR(D408="Ngữ pháp",D408="Đọc",D408="Nghe",D408="Từ và kanji",D408="Giao tiếp"),OR(F408="Mới",F408="Ôn lại",F408="Hỗ trợ",F408="Luyện"),ISNUMBER(G408),ISNUMBER(H408),ISNUMBER(I408),ISNUMBER(J408),G408&gt;=0,H408&gt;=G408,I408&gt;=H408,I408&gt;0,J408&gt;=0,MOD(G408,1)=0,MOD(H408,1)=0,MOD(I408,1)=0,COUNTIFS($A$8:A408,A408,$D$8:D408,D408,$F$8:F408,F408)=1),"Hợp lệ","Kiểm tra/trùng"))</x:f>
      </x:c>
    </x:row>
    <x:row r="409" ht="27" customHeight="1">
      <x:c r="A409" s="83"/>
      <x:c r="B409" s="83"/>
      <x:c r="C409" s="83"/>
      <x:c r="D409" s="83"/>
      <x:c r="E409" s="83"/>
      <x:c r="F409" s="83"/>
      <x:c r="G409" s="83"/>
      <x:c r="H409" s="83"/>
      <x:c r="I409" s="83"/>
      <x:c r="J409" s="83"/>
      <x:c r="K409" s="83"/>
      <x:c r="L409" s="83"/>
      <x:c r="M409" s="75" t="str">
        <x:f>IF(COUNTA(A409:L409)=0,"",IF(AND(A409&lt;&gt;"",B409&lt;&gt;"",C409="N4",OR(D409="Ngữ pháp",D409="Đọc",D409="Nghe",D409="Từ và kanji",D409="Giao tiếp"),OR(F409="Mới",F409="Ôn lại",F409="Hỗ trợ",F409="Luyện"),ISNUMBER(G409),ISNUMBER(H409),ISNUMBER(I409),ISNUMBER(J409),G409&gt;=0,H409&gt;=G409,I409&gt;=H409,I409&gt;0,J409&gt;=0,MOD(G409,1)=0,MOD(H409,1)=0,MOD(I409,1)=0,COUNTIFS($A$8:A409,A409,$D$8:D409,D409,$F$8:F409,F409)=1),"Hợp lệ","Kiểm tra/trùng"))</x:f>
      </x:c>
    </x:row>
    <x:row r="410" ht="27" customHeight="1">
      <x:c r="A410" s="83"/>
      <x:c r="B410" s="83"/>
      <x:c r="C410" s="83"/>
      <x:c r="D410" s="83"/>
      <x:c r="E410" s="83"/>
      <x:c r="F410" s="83"/>
      <x:c r="G410" s="83"/>
      <x:c r="H410" s="83"/>
      <x:c r="I410" s="83"/>
      <x:c r="J410" s="83"/>
      <x:c r="K410" s="83"/>
      <x:c r="L410" s="83"/>
      <x:c r="M410" s="75" t="str">
        <x:f>IF(COUNTA(A410:L410)=0,"",IF(AND(A410&lt;&gt;"",B410&lt;&gt;"",C410="N4",OR(D410="Ngữ pháp",D410="Đọc",D410="Nghe",D410="Từ và kanji",D410="Giao tiếp"),OR(F410="Mới",F410="Ôn lại",F410="Hỗ trợ",F410="Luyện"),ISNUMBER(G410),ISNUMBER(H410),ISNUMBER(I410),ISNUMBER(J410),G410&gt;=0,H410&gt;=G410,I410&gt;=H410,I410&gt;0,J410&gt;=0,MOD(G410,1)=0,MOD(H410,1)=0,MOD(I410,1)=0,COUNTIFS($A$8:A410,A410,$D$8:D410,D410,$F$8:F410,F410)=1),"Hợp lệ","Kiểm tra/trùng"))</x:f>
      </x:c>
    </x:row>
    <x:row r="411" ht="27" customHeight="1">
      <x:c r="A411" s="83"/>
      <x:c r="B411" s="83"/>
      <x:c r="C411" s="83"/>
      <x:c r="D411" s="83"/>
      <x:c r="E411" s="83"/>
      <x:c r="F411" s="83"/>
      <x:c r="G411" s="83"/>
      <x:c r="H411" s="83"/>
      <x:c r="I411" s="83"/>
      <x:c r="J411" s="83"/>
      <x:c r="K411" s="83"/>
      <x:c r="L411" s="83"/>
      <x:c r="M411" s="75" t="str">
        <x:f>IF(COUNTA(A411:L411)=0,"",IF(AND(A411&lt;&gt;"",B411&lt;&gt;"",C411="N4",OR(D411="Ngữ pháp",D411="Đọc",D411="Nghe",D411="Từ và kanji",D411="Giao tiếp"),OR(F411="Mới",F411="Ôn lại",F411="Hỗ trợ",F411="Luyện"),ISNUMBER(G411),ISNUMBER(H411),ISNUMBER(I411),ISNUMBER(J411),G411&gt;=0,H411&gt;=G411,I411&gt;=H411,I411&gt;0,J411&gt;=0,MOD(G411,1)=0,MOD(H411,1)=0,MOD(I411,1)=0,COUNTIFS($A$8:A411,A411,$D$8:D411,D411,$F$8:F411,F411)=1),"Hợp lệ","Kiểm tra/trùng"))</x:f>
      </x:c>
    </x:row>
    <x:row r="412" ht="27" customHeight="1">
      <x:c r="A412" s="83"/>
      <x:c r="B412" s="83"/>
      <x:c r="C412" s="83"/>
      <x:c r="D412" s="83"/>
      <x:c r="E412" s="83"/>
      <x:c r="F412" s="83"/>
      <x:c r="G412" s="83"/>
      <x:c r="H412" s="83"/>
      <x:c r="I412" s="83"/>
      <x:c r="J412" s="83"/>
      <x:c r="K412" s="83"/>
      <x:c r="L412" s="83"/>
      <x:c r="M412" s="75" t="str">
        <x:f>IF(COUNTA(A412:L412)=0,"",IF(AND(A412&lt;&gt;"",B412&lt;&gt;"",C412="N4",OR(D412="Ngữ pháp",D412="Đọc",D412="Nghe",D412="Từ và kanji",D412="Giao tiếp"),OR(F412="Mới",F412="Ôn lại",F412="Hỗ trợ",F412="Luyện"),ISNUMBER(G412),ISNUMBER(H412),ISNUMBER(I412),ISNUMBER(J412),G412&gt;=0,H412&gt;=G412,I412&gt;=H412,I412&gt;0,J412&gt;=0,MOD(G412,1)=0,MOD(H412,1)=0,MOD(I412,1)=0,COUNTIFS($A$8:A412,A412,$D$8:D412,D412,$F$8:F412,F412)=1),"Hợp lệ","Kiểm tra/trùng"))</x:f>
      </x:c>
    </x:row>
    <x:row r="413" ht="27" customHeight="1">
      <x:c r="A413" s="83"/>
      <x:c r="B413" s="83"/>
      <x:c r="C413" s="83"/>
      <x:c r="D413" s="83"/>
      <x:c r="E413" s="83"/>
      <x:c r="F413" s="83"/>
      <x:c r="G413" s="83"/>
      <x:c r="H413" s="83"/>
      <x:c r="I413" s="83"/>
      <x:c r="J413" s="83"/>
      <x:c r="K413" s="83"/>
      <x:c r="L413" s="83"/>
      <x:c r="M413" s="75" t="str">
        <x:f>IF(COUNTA(A413:L413)=0,"",IF(AND(A413&lt;&gt;"",B413&lt;&gt;"",C413="N4",OR(D413="Ngữ pháp",D413="Đọc",D413="Nghe",D413="Từ và kanji",D413="Giao tiếp"),OR(F413="Mới",F413="Ôn lại",F413="Hỗ trợ",F413="Luyện"),ISNUMBER(G413),ISNUMBER(H413),ISNUMBER(I413),ISNUMBER(J413),G413&gt;=0,H413&gt;=G413,I413&gt;=H413,I413&gt;0,J413&gt;=0,MOD(G413,1)=0,MOD(H413,1)=0,MOD(I413,1)=0,COUNTIFS($A$8:A413,A413,$D$8:D413,D413,$F$8:F413,F413)=1),"Hợp lệ","Kiểm tra/trùng"))</x:f>
      </x:c>
    </x:row>
    <x:row r="414" ht="27" customHeight="1">
      <x:c r="A414" s="83"/>
      <x:c r="B414" s="83"/>
      <x:c r="C414" s="83"/>
      <x:c r="D414" s="83"/>
      <x:c r="E414" s="83"/>
      <x:c r="F414" s="83"/>
      <x:c r="G414" s="83"/>
      <x:c r="H414" s="83"/>
      <x:c r="I414" s="83"/>
      <x:c r="J414" s="83"/>
      <x:c r="K414" s="83"/>
      <x:c r="L414" s="83"/>
      <x:c r="M414" s="75" t="str">
        <x:f>IF(COUNTA(A414:L414)=0,"",IF(AND(A414&lt;&gt;"",B414&lt;&gt;"",C414="N4",OR(D414="Ngữ pháp",D414="Đọc",D414="Nghe",D414="Từ và kanji",D414="Giao tiếp"),OR(F414="Mới",F414="Ôn lại",F414="Hỗ trợ",F414="Luyện"),ISNUMBER(G414),ISNUMBER(H414),ISNUMBER(I414),ISNUMBER(J414),G414&gt;=0,H414&gt;=G414,I414&gt;=H414,I414&gt;0,J414&gt;=0,MOD(G414,1)=0,MOD(H414,1)=0,MOD(I414,1)=0,COUNTIFS($A$8:A414,A414,$D$8:D414,D414,$F$8:F414,F414)=1),"Hợp lệ","Kiểm tra/trùng"))</x:f>
      </x:c>
    </x:row>
    <x:row r="415" ht="27" customHeight="1">
      <x:c r="A415" s="83"/>
      <x:c r="B415" s="83"/>
      <x:c r="C415" s="83"/>
      <x:c r="D415" s="83"/>
      <x:c r="E415" s="83"/>
      <x:c r="F415" s="83"/>
      <x:c r="G415" s="83"/>
      <x:c r="H415" s="83"/>
      <x:c r="I415" s="83"/>
      <x:c r="J415" s="83"/>
      <x:c r="K415" s="83"/>
      <x:c r="L415" s="83"/>
      <x:c r="M415" s="75" t="str">
        <x:f>IF(COUNTA(A415:L415)=0,"",IF(AND(A415&lt;&gt;"",B415&lt;&gt;"",C415="N4",OR(D415="Ngữ pháp",D415="Đọc",D415="Nghe",D415="Từ và kanji",D415="Giao tiếp"),OR(F415="Mới",F415="Ôn lại",F415="Hỗ trợ",F415="Luyện"),ISNUMBER(G415),ISNUMBER(H415),ISNUMBER(I415),ISNUMBER(J415),G415&gt;=0,H415&gt;=G415,I415&gt;=H415,I415&gt;0,J415&gt;=0,MOD(G415,1)=0,MOD(H415,1)=0,MOD(I415,1)=0,COUNTIFS($A$8:A415,A415,$D$8:D415,D415,$F$8:F415,F415)=1),"Hợp lệ","Kiểm tra/trùng"))</x:f>
      </x:c>
    </x:row>
    <x:row r="416" ht="27" customHeight="1">
      <x:c r="A416" s="83"/>
      <x:c r="B416" s="83"/>
      <x:c r="C416" s="83"/>
      <x:c r="D416" s="83"/>
      <x:c r="E416" s="83"/>
      <x:c r="F416" s="83"/>
      <x:c r="G416" s="83"/>
      <x:c r="H416" s="83"/>
      <x:c r="I416" s="83"/>
      <x:c r="J416" s="83"/>
      <x:c r="K416" s="83"/>
      <x:c r="L416" s="83"/>
      <x:c r="M416" s="75" t="str">
        <x:f>IF(COUNTA(A416:L416)=0,"",IF(AND(A416&lt;&gt;"",B416&lt;&gt;"",C416="N4",OR(D416="Ngữ pháp",D416="Đọc",D416="Nghe",D416="Từ và kanji",D416="Giao tiếp"),OR(F416="Mới",F416="Ôn lại",F416="Hỗ trợ",F416="Luyện"),ISNUMBER(G416),ISNUMBER(H416),ISNUMBER(I416),ISNUMBER(J416),G416&gt;=0,H416&gt;=G416,I416&gt;=H416,I416&gt;0,J416&gt;=0,MOD(G416,1)=0,MOD(H416,1)=0,MOD(I416,1)=0,COUNTIFS($A$8:A416,A416,$D$8:D416,D416,$F$8:F416,F416)=1),"Hợp lệ","Kiểm tra/trùng"))</x:f>
      </x:c>
    </x:row>
    <x:row r="417" ht="27" customHeight="1">
      <x:c r="A417" s="83"/>
      <x:c r="B417" s="83"/>
      <x:c r="C417" s="83"/>
      <x:c r="D417" s="83"/>
      <x:c r="E417" s="83"/>
      <x:c r="F417" s="83"/>
      <x:c r="G417" s="83"/>
      <x:c r="H417" s="83"/>
      <x:c r="I417" s="83"/>
      <x:c r="J417" s="83"/>
      <x:c r="K417" s="83"/>
      <x:c r="L417" s="83"/>
      <x:c r="M417" s="75" t="str">
        <x:f>IF(COUNTA(A417:L417)=0,"",IF(AND(A417&lt;&gt;"",B417&lt;&gt;"",C417="N4",OR(D417="Ngữ pháp",D417="Đọc",D417="Nghe",D417="Từ và kanji",D417="Giao tiếp"),OR(F417="Mới",F417="Ôn lại",F417="Hỗ trợ",F417="Luyện"),ISNUMBER(G417),ISNUMBER(H417),ISNUMBER(I417),ISNUMBER(J417),G417&gt;=0,H417&gt;=G417,I417&gt;=H417,I417&gt;0,J417&gt;=0,MOD(G417,1)=0,MOD(H417,1)=0,MOD(I417,1)=0,COUNTIFS($A$8:A417,A417,$D$8:D417,D417,$F$8:F417,F417)=1),"Hợp lệ","Kiểm tra/trùng"))</x:f>
      </x:c>
    </x:row>
    <x:row r="418" ht="27" customHeight="1">
      <x:c r="A418" s="83"/>
      <x:c r="B418" s="83"/>
      <x:c r="C418" s="83"/>
      <x:c r="D418" s="83"/>
      <x:c r="E418" s="83"/>
      <x:c r="F418" s="83"/>
      <x:c r="G418" s="83"/>
      <x:c r="H418" s="83"/>
      <x:c r="I418" s="83"/>
      <x:c r="J418" s="83"/>
      <x:c r="K418" s="83"/>
      <x:c r="L418" s="83"/>
      <x:c r="M418" s="75" t="str">
        <x:f>IF(COUNTA(A418:L418)=0,"",IF(AND(A418&lt;&gt;"",B418&lt;&gt;"",C418="N4",OR(D418="Ngữ pháp",D418="Đọc",D418="Nghe",D418="Từ và kanji",D418="Giao tiếp"),OR(F418="Mới",F418="Ôn lại",F418="Hỗ trợ",F418="Luyện"),ISNUMBER(G418),ISNUMBER(H418),ISNUMBER(I418),ISNUMBER(J418),G418&gt;=0,H418&gt;=G418,I418&gt;=H418,I418&gt;0,J418&gt;=0,MOD(G418,1)=0,MOD(H418,1)=0,MOD(I418,1)=0,COUNTIFS($A$8:A418,A418,$D$8:D418,D418,$F$8:F418,F418)=1),"Hợp lệ","Kiểm tra/trùng"))</x:f>
      </x:c>
    </x:row>
    <x:row r="419" ht="27" customHeight="1">
      <x:c r="A419" s="83"/>
      <x:c r="B419" s="83"/>
      <x:c r="C419" s="83"/>
      <x:c r="D419" s="83"/>
      <x:c r="E419" s="83"/>
      <x:c r="F419" s="83"/>
      <x:c r="G419" s="83"/>
      <x:c r="H419" s="83"/>
      <x:c r="I419" s="83"/>
      <x:c r="J419" s="83"/>
      <x:c r="K419" s="83"/>
      <x:c r="L419" s="83"/>
      <x:c r="M419" s="75" t="str">
        <x:f>IF(COUNTA(A419:L419)=0,"",IF(AND(A419&lt;&gt;"",B419&lt;&gt;"",C419="N4",OR(D419="Ngữ pháp",D419="Đọc",D419="Nghe",D419="Từ và kanji",D419="Giao tiếp"),OR(F419="Mới",F419="Ôn lại",F419="Hỗ trợ",F419="Luyện"),ISNUMBER(G419),ISNUMBER(H419),ISNUMBER(I419),ISNUMBER(J419),G419&gt;=0,H419&gt;=G419,I419&gt;=H419,I419&gt;0,J419&gt;=0,MOD(G419,1)=0,MOD(H419,1)=0,MOD(I419,1)=0,COUNTIFS($A$8:A419,A419,$D$8:D419,D419,$F$8:F419,F419)=1),"Hợp lệ","Kiểm tra/trùng"))</x:f>
      </x:c>
    </x:row>
    <x:row r="420" ht="27" customHeight="1">
      <x:c r="A420" s="83"/>
      <x:c r="B420" s="83"/>
      <x:c r="C420" s="83"/>
      <x:c r="D420" s="83"/>
      <x:c r="E420" s="83"/>
      <x:c r="F420" s="83"/>
      <x:c r="G420" s="83"/>
      <x:c r="H420" s="83"/>
      <x:c r="I420" s="83"/>
      <x:c r="J420" s="83"/>
      <x:c r="K420" s="83"/>
      <x:c r="L420" s="83"/>
      <x:c r="M420" s="75" t="str">
        <x:f>IF(COUNTA(A420:L420)=0,"",IF(AND(A420&lt;&gt;"",B420&lt;&gt;"",C420="N4",OR(D420="Ngữ pháp",D420="Đọc",D420="Nghe",D420="Từ và kanji",D420="Giao tiếp"),OR(F420="Mới",F420="Ôn lại",F420="Hỗ trợ",F420="Luyện"),ISNUMBER(G420),ISNUMBER(H420),ISNUMBER(I420),ISNUMBER(J420),G420&gt;=0,H420&gt;=G420,I420&gt;=H420,I420&gt;0,J420&gt;=0,MOD(G420,1)=0,MOD(H420,1)=0,MOD(I420,1)=0,COUNTIFS($A$8:A420,A420,$D$8:D420,D420,$F$8:F420,F420)=1),"Hợp lệ","Kiểm tra/trùng"))</x:f>
      </x:c>
    </x:row>
    <x:row r="421" ht="27" customHeight="1">
      <x:c r="A421" s="83"/>
      <x:c r="B421" s="83"/>
      <x:c r="C421" s="83"/>
      <x:c r="D421" s="83"/>
      <x:c r="E421" s="83"/>
      <x:c r="F421" s="83"/>
      <x:c r="G421" s="83"/>
      <x:c r="H421" s="83"/>
      <x:c r="I421" s="83"/>
      <x:c r="J421" s="83"/>
      <x:c r="K421" s="83"/>
      <x:c r="L421" s="83"/>
      <x:c r="M421" s="75" t="str">
        <x:f>IF(COUNTA(A421:L421)=0,"",IF(AND(A421&lt;&gt;"",B421&lt;&gt;"",C421="N4",OR(D421="Ngữ pháp",D421="Đọc",D421="Nghe",D421="Từ và kanji",D421="Giao tiếp"),OR(F421="Mới",F421="Ôn lại",F421="Hỗ trợ",F421="Luyện"),ISNUMBER(G421),ISNUMBER(H421),ISNUMBER(I421),ISNUMBER(J421),G421&gt;=0,H421&gt;=G421,I421&gt;=H421,I421&gt;0,J421&gt;=0,MOD(G421,1)=0,MOD(H421,1)=0,MOD(I421,1)=0,COUNTIFS($A$8:A421,A421,$D$8:D421,D421,$F$8:F421,F421)=1),"Hợp lệ","Kiểm tra/trùng"))</x:f>
      </x:c>
    </x:row>
    <x:row r="422" ht="27" customHeight="1">
      <x:c r="A422" s="83"/>
      <x:c r="B422" s="83"/>
      <x:c r="C422" s="83"/>
      <x:c r="D422" s="83"/>
      <x:c r="E422" s="83"/>
      <x:c r="F422" s="83"/>
      <x:c r="G422" s="83"/>
      <x:c r="H422" s="83"/>
      <x:c r="I422" s="83"/>
      <x:c r="J422" s="83"/>
      <x:c r="K422" s="83"/>
      <x:c r="L422" s="83"/>
      <x:c r="M422" s="75" t="str">
        <x:f>IF(COUNTA(A422:L422)=0,"",IF(AND(A422&lt;&gt;"",B422&lt;&gt;"",C422="N4",OR(D422="Ngữ pháp",D422="Đọc",D422="Nghe",D422="Từ và kanji",D422="Giao tiếp"),OR(F422="Mới",F422="Ôn lại",F422="Hỗ trợ",F422="Luyện"),ISNUMBER(G422),ISNUMBER(H422),ISNUMBER(I422),ISNUMBER(J422),G422&gt;=0,H422&gt;=G422,I422&gt;=H422,I422&gt;0,J422&gt;=0,MOD(G422,1)=0,MOD(H422,1)=0,MOD(I422,1)=0,COUNTIFS($A$8:A422,A422,$D$8:D422,D422,$F$8:F422,F422)=1),"Hợp lệ","Kiểm tra/trùng"))</x:f>
      </x:c>
    </x:row>
    <x:row r="423" ht="27" customHeight="1">
      <x:c r="A423" s="83"/>
      <x:c r="B423" s="83"/>
      <x:c r="C423" s="83"/>
      <x:c r="D423" s="83"/>
      <x:c r="E423" s="83"/>
      <x:c r="F423" s="83"/>
      <x:c r="G423" s="83"/>
      <x:c r="H423" s="83"/>
      <x:c r="I423" s="83"/>
      <x:c r="J423" s="83"/>
      <x:c r="K423" s="83"/>
      <x:c r="L423" s="83"/>
      <x:c r="M423" s="75" t="str">
        <x:f>IF(COUNTA(A423:L423)=0,"",IF(AND(A423&lt;&gt;"",B423&lt;&gt;"",C423="N4",OR(D423="Ngữ pháp",D423="Đọc",D423="Nghe",D423="Từ và kanji",D423="Giao tiếp"),OR(F423="Mới",F423="Ôn lại",F423="Hỗ trợ",F423="Luyện"),ISNUMBER(G423),ISNUMBER(H423),ISNUMBER(I423),ISNUMBER(J423),G423&gt;=0,H423&gt;=G423,I423&gt;=H423,I423&gt;0,J423&gt;=0,MOD(G423,1)=0,MOD(H423,1)=0,MOD(I423,1)=0,COUNTIFS($A$8:A423,A423,$D$8:D423,D423,$F$8:F423,F423)=1),"Hợp lệ","Kiểm tra/trùng"))</x:f>
      </x:c>
    </x:row>
    <x:row r="424" ht="27" customHeight="1">
      <x:c r="A424" s="83"/>
      <x:c r="B424" s="83"/>
      <x:c r="C424" s="83"/>
      <x:c r="D424" s="83"/>
      <x:c r="E424" s="83"/>
      <x:c r="F424" s="83"/>
      <x:c r="G424" s="83"/>
      <x:c r="H424" s="83"/>
      <x:c r="I424" s="83"/>
      <x:c r="J424" s="83"/>
      <x:c r="K424" s="83"/>
      <x:c r="L424" s="83"/>
      <x:c r="M424" s="75" t="str">
        <x:f>IF(COUNTA(A424:L424)=0,"",IF(AND(A424&lt;&gt;"",B424&lt;&gt;"",C424="N4",OR(D424="Ngữ pháp",D424="Đọc",D424="Nghe",D424="Từ và kanji",D424="Giao tiếp"),OR(F424="Mới",F424="Ôn lại",F424="Hỗ trợ",F424="Luyện"),ISNUMBER(G424),ISNUMBER(H424),ISNUMBER(I424),ISNUMBER(J424),G424&gt;=0,H424&gt;=G424,I424&gt;=H424,I424&gt;0,J424&gt;=0,MOD(G424,1)=0,MOD(H424,1)=0,MOD(I424,1)=0,COUNTIFS($A$8:A424,A424,$D$8:D424,D424,$F$8:F424,F424)=1),"Hợp lệ","Kiểm tra/trùng"))</x:f>
      </x:c>
    </x:row>
    <x:row r="425" ht="27" customHeight="1">
      <x:c r="A425" s="83"/>
      <x:c r="B425" s="83"/>
      <x:c r="C425" s="83"/>
      <x:c r="D425" s="83"/>
      <x:c r="E425" s="83"/>
      <x:c r="F425" s="83"/>
      <x:c r="G425" s="83"/>
      <x:c r="H425" s="83"/>
      <x:c r="I425" s="83"/>
      <x:c r="J425" s="83"/>
      <x:c r="K425" s="83"/>
      <x:c r="L425" s="83"/>
      <x:c r="M425" s="75" t="str">
        <x:f>IF(COUNTA(A425:L425)=0,"",IF(AND(A425&lt;&gt;"",B425&lt;&gt;"",C425="N4",OR(D425="Ngữ pháp",D425="Đọc",D425="Nghe",D425="Từ và kanji",D425="Giao tiếp"),OR(F425="Mới",F425="Ôn lại",F425="Hỗ trợ",F425="Luyện"),ISNUMBER(G425),ISNUMBER(H425),ISNUMBER(I425),ISNUMBER(J425),G425&gt;=0,H425&gt;=G425,I425&gt;=H425,I425&gt;0,J425&gt;=0,MOD(G425,1)=0,MOD(H425,1)=0,MOD(I425,1)=0,COUNTIFS($A$8:A425,A425,$D$8:D425,D425,$F$8:F425,F425)=1),"Hợp lệ","Kiểm tra/trùng"))</x:f>
      </x:c>
    </x:row>
    <x:row r="426" ht="27" customHeight="1">
      <x:c r="A426" s="83"/>
      <x:c r="B426" s="83"/>
      <x:c r="C426" s="83"/>
      <x:c r="D426" s="83"/>
      <x:c r="E426" s="83"/>
      <x:c r="F426" s="83"/>
      <x:c r="G426" s="83"/>
      <x:c r="H426" s="83"/>
      <x:c r="I426" s="83"/>
      <x:c r="J426" s="83"/>
      <x:c r="K426" s="83"/>
      <x:c r="L426" s="83"/>
      <x:c r="M426" s="75" t="str">
        <x:f>IF(COUNTA(A426:L426)=0,"",IF(AND(A426&lt;&gt;"",B426&lt;&gt;"",C426="N4",OR(D426="Ngữ pháp",D426="Đọc",D426="Nghe",D426="Từ và kanji",D426="Giao tiếp"),OR(F426="Mới",F426="Ôn lại",F426="Hỗ trợ",F426="Luyện"),ISNUMBER(G426),ISNUMBER(H426),ISNUMBER(I426),ISNUMBER(J426),G426&gt;=0,H426&gt;=G426,I426&gt;=H426,I426&gt;0,J426&gt;=0,MOD(G426,1)=0,MOD(H426,1)=0,MOD(I426,1)=0,COUNTIFS($A$8:A426,A426,$D$8:D426,D426,$F$8:F426,F426)=1),"Hợp lệ","Kiểm tra/trùng"))</x:f>
      </x:c>
    </x:row>
    <x:row r="427" ht="27" customHeight="1">
      <x:c r="A427" s="83"/>
      <x:c r="B427" s="83"/>
      <x:c r="C427" s="83"/>
      <x:c r="D427" s="83"/>
      <x:c r="E427" s="83"/>
      <x:c r="F427" s="83"/>
      <x:c r="G427" s="83"/>
      <x:c r="H427" s="83"/>
      <x:c r="I427" s="83"/>
      <x:c r="J427" s="83"/>
      <x:c r="K427" s="83"/>
      <x:c r="L427" s="83"/>
      <x:c r="M427" s="75" t="str">
        <x:f>IF(COUNTA(A427:L427)=0,"",IF(AND(A427&lt;&gt;"",B427&lt;&gt;"",C427="N4",OR(D427="Ngữ pháp",D427="Đọc",D427="Nghe",D427="Từ và kanji",D427="Giao tiếp"),OR(F427="Mới",F427="Ôn lại",F427="Hỗ trợ",F427="Luyện"),ISNUMBER(G427),ISNUMBER(H427),ISNUMBER(I427),ISNUMBER(J427),G427&gt;=0,H427&gt;=G427,I427&gt;=H427,I427&gt;0,J427&gt;=0,MOD(G427,1)=0,MOD(H427,1)=0,MOD(I427,1)=0,COUNTIFS($A$8:A427,A427,$D$8:D427,D427,$F$8:F427,F427)=1),"Hợp lệ","Kiểm tra/trùng"))</x:f>
      </x:c>
    </x:row>
    <x:row r="428" ht="27" customHeight="1">
      <x:c r="A428" s="83"/>
      <x:c r="B428" s="83"/>
      <x:c r="C428" s="83"/>
      <x:c r="D428" s="83"/>
      <x:c r="E428" s="83"/>
      <x:c r="F428" s="83"/>
      <x:c r="G428" s="83"/>
      <x:c r="H428" s="83"/>
      <x:c r="I428" s="83"/>
      <x:c r="J428" s="83"/>
      <x:c r="K428" s="83"/>
      <x:c r="L428" s="83"/>
      <x:c r="M428" s="75" t="str">
        <x:f>IF(COUNTA(A428:L428)=0,"",IF(AND(A428&lt;&gt;"",B428&lt;&gt;"",C428="N4",OR(D428="Ngữ pháp",D428="Đọc",D428="Nghe",D428="Từ và kanji",D428="Giao tiếp"),OR(F428="Mới",F428="Ôn lại",F428="Hỗ trợ",F428="Luyện"),ISNUMBER(G428),ISNUMBER(H428),ISNUMBER(I428),ISNUMBER(J428),G428&gt;=0,H428&gt;=G428,I428&gt;=H428,I428&gt;0,J428&gt;=0,MOD(G428,1)=0,MOD(H428,1)=0,MOD(I428,1)=0,COUNTIFS($A$8:A428,A428,$D$8:D428,D428,$F$8:F428,F428)=1),"Hợp lệ","Kiểm tra/trùng"))</x:f>
      </x:c>
    </x:row>
    <x:row r="429" ht="27" customHeight="1">
      <x:c r="A429" s="83"/>
      <x:c r="B429" s="83"/>
      <x:c r="C429" s="83"/>
      <x:c r="D429" s="83"/>
      <x:c r="E429" s="83"/>
      <x:c r="F429" s="83"/>
      <x:c r="G429" s="83"/>
      <x:c r="H429" s="83"/>
      <x:c r="I429" s="83"/>
      <x:c r="J429" s="83"/>
      <x:c r="K429" s="83"/>
      <x:c r="L429" s="83"/>
      <x:c r="M429" s="75" t="str">
        <x:f>IF(COUNTA(A429:L429)=0,"",IF(AND(A429&lt;&gt;"",B429&lt;&gt;"",C429="N4",OR(D429="Ngữ pháp",D429="Đọc",D429="Nghe",D429="Từ và kanji",D429="Giao tiếp"),OR(F429="Mới",F429="Ôn lại",F429="Hỗ trợ",F429="Luyện"),ISNUMBER(G429),ISNUMBER(H429),ISNUMBER(I429),ISNUMBER(J429),G429&gt;=0,H429&gt;=G429,I429&gt;=H429,I429&gt;0,J429&gt;=0,MOD(G429,1)=0,MOD(H429,1)=0,MOD(I429,1)=0,COUNTIFS($A$8:A429,A429,$D$8:D429,D429,$F$8:F429,F429)=1),"Hợp lệ","Kiểm tra/trùng"))</x:f>
      </x:c>
    </x:row>
    <x:row r="430" ht="27" customHeight="1">
      <x:c r="A430" s="83"/>
      <x:c r="B430" s="83"/>
      <x:c r="C430" s="83"/>
      <x:c r="D430" s="83"/>
      <x:c r="E430" s="83"/>
      <x:c r="F430" s="83"/>
      <x:c r="G430" s="83"/>
      <x:c r="H430" s="83"/>
      <x:c r="I430" s="83"/>
      <x:c r="J430" s="83"/>
      <x:c r="K430" s="83"/>
      <x:c r="L430" s="83"/>
      <x:c r="M430" s="75" t="str">
        <x:f>IF(COUNTA(A430:L430)=0,"",IF(AND(A430&lt;&gt;"",B430&lt;&gt;"",C430="N4",OR(D430="Ngữ pháp",D430="Đọc",D430="Nghe",D430="Từ và kanji",D430="Giao tiếp"),OR(F430="Mới",F430="Ôn lại",F430="Hỗ trợ",F430="Luyện"),ISNUMBER(G430),ISNUMBER(H430),ISNUMBER(I430),ISNUMBER(J430),G430&gt;=0,H430&gt;=G430,I430&gt;=H430,I430&gt;0,J430&gt;=0,MOD(G430,1)=0,MOD(H430,1)=0,MOD(I430,1)=0,COUNTIFS($A$8:A430,A430,$D$8:D430,D430,$F$8:F430,F430)=1),"Hợp lệ","Kiểm tra/trùng"))</x:f>
      </x:c>
    </x:row>
    <x:row r="431" ht="27" customHeight="1">
      <x:c r="A431" s="83"/>
      <x:c r="B431" s="83"/>
      <x:c r="C431" s="83"/>
      <x:c r="D431" s="83"/>
      <x:c r="E431" s="83"/>
      <x:c r="F431" s="83"/>
      <x:c r="G431" s="83"/>
      <x:c r="H431" s="83"/>
      <x:c r="I431" s="83"/>
      <x:c r="J431" s="83"/>
      <x:c r="K431" s="83"/>
      <x:c r="L431" s="83"/>
      <x:c r="M431" s="75" t="str">
        <x:f>IF(COUNTA(A431:L431)=0,"",IF(AND(A431&lt;&gt;"",B431&lt;&gt;"",C431="N4",OR(D431="Ngữ pháp",D431="Đọc",D431="Nghe",D431="Từ và kanji",D431="Giao tiếp"),OR(F431="Mới",F431="Ôn lại",F431="Hỗ trợ",F431="Luyện"),ISNUMBER(G431),ISNUMBER(H431),ISNUMBER(I431),ISNUMBER(J431),G431&gt;=0,H431&gt;=G431,I431&gt;=H431,I431&gt;0,J431&gt;=0,MOD(G431,1)=0,MOD(H431,1)=0,MOD(I431,1)=0,COUNTIFS($A$8:A431,A431,$D$8:D431,D431,$F$8:F431,F431)=1),"Hợp lệ","Kiểm tra/trùng"))</x:f>
      </x:c>
    </x:row>
    <x:row r="432" ht="27" customHeight="1">
      <x:c r="A432" s="83"/>
      <x:c r="B432" s="83"/>
      <x:c r="C432" s="83"/>
      <x:c r="D432" s="83"/>
      <x:c r="E432" s="83"/>
      <x:c r="F432" s="83"/>
      <x:c r="G432" s="83"/>
      <x:c r="H432" s="83"/>
      <x:c r="I432" s="83"/>
      <x:c r="J432" s="83"/>
      <x:c r="K432" s="83"/>
      <x:c r="L432" s="83"/>
      <x:c r="M432" s="75" t="str">
        <x:f>IF(COUNTA(A432:L432)=0,"",IF(AND(A432&lt;&gt;"",B432&lt;&gt;"",C432="N4",OR(D432="Ngữ pháp",D432="Đọc",D432="Nghe",D432="Từ và kanji",D432="Giao tiếp"),OR(F432="Mới",F432="Ôn lại",F432="Hỗ trợ",F432="Luyện"),ISNUMBER(G432),ISNUMBER(H432),ISNUMBER(I432),ISNUMBER(J432),G432&gt;=0,H432&gt;=G432,I432&gt;=H432,I432&gt;0,J432&gt;=0,MOD(G432,1)=0,MOD(H432,1)=0,MOD(I432,1)=0,COUNTIFS($A$8:A432,A432,$D$8:D432,D432,$F$8:F432,F432)=1),"Hợp lệ","Kiểm tra/trùng"))</x:f>
      </x:c>
    </x:row>
    <x:row r="433" ht="27" customHeight="1">
      <x:c r="A433" s="83"/>
      <x:c r="B433" s="83"/>
      <x:c r="C433" s="83"/>
      <x:c r="D433" s="83"/>
      <x:c r="E433" s="83"/>
      <x:c r="F433" s="83"/>
      <x:c r="G433" s="83"/>
      <x:c r="H433" s="83"/>
      <x:c r="I433" s="83"/>
      <x:c r="J433" s="83"/>
      <x:c r="K433" s="83"/>
      <x:c r="L433" s="83"/>
      <x:c r="M433" s="75" t="str">
        <x:f>IF(COUNTA(A433:L433)=0,"",IF(AND(A433&lt;&gt;"",B433&lt;&gt;"",C433="N4",OR(D433="Ngữ pháp",D433="Đọc",D433="Nghe",D433="Từ và kanji",D433="Giao tiếp"),OR(F433="Mới",F433="Ôn lại",F433="Hỗ trợ",F433="Luyện"),ISNUMBER(G433),ISNUMBER(H433),ISNUMBER(I433),ISNUMBER(J433),G433&gt;=0,H433&gt;=G433,I433&gt;=H433,I433&gt;0,J433&gt;=0,MOD(G433,1)=0,MOD(H433,1)=0,MOD(I433,1)=0,COUNTIFS($A$8:A433,A433,$D$8:D433,D433,$F$8:F433,F433)=1),"Hợp lệ","Kiểm tra/trùng"))</x:f>
      </x:c>
    </x:row>
    <x:row r="434" ht="27" customHeight="1">
      <x:c r="A434" s="83"/>
      <x:c r="B434" s="83"/>
      <x:c r="C434" s="83"/>
      <x:c r="D434" s="83"/>
      <x:c r="E434" s="83"/>
      <x:c r="F434" s="83"/>
      <x:c r="G434" s="83"/>
      <x:c r="H434" s="83"/>
      <x:c r="I434" s="83"/>
      <x:c r="J434" s="83"/>
      <x:c r="K434" s="83"/>
      <x:c r="L434" s="83"/>
      <x:c r="M434" s="75" t="str">
        <x:f>IF(COUNTA(A434:L434)=0,"",IF(AND(A434&lt;&gt;"",B434&lt;&gt;"",C434="N4",OR(D434="Ngữ pháp",D434="Đọc",D434="Nghe",D434="Từ và kanji",D434="Giao tiếp"),OR(F434="Mới",F434="Ôn lại",F434="Hỗ trợ",F434="Luyện"),ISNUMBER(G434),ISNUMBER(H434),ISNUMBER(I434),ISNUMBER(J434),G434&gt;=0,H434&gt;=G434,I434&gt;=H434,I434&gt;0,J434&gt;=0,MOD(G434,1)=0,MOD(H434,1)=0,MOD(I434,1)=0,COUNTIFS($A$8:A434,A434,$D$8:D434,D434,$F$8:F434,F434)=1),"Hợp lệ","Kiểm tra/trùng"))</x:f>
      </x:c>
    </x:row>
    <x:row r="435" ht="27" customHeight="1">
      <x:c r="A435" s="83"/>
      <x:c r="B435" s="83"/>
      <x:c r="C435" s="83"/>
      <x:c r="D435" s="83"/>
      <x:c r="E435" s="83"/>
      <x:c r="F435" s="83"/>
      <x:c r="G435" s="83"/>
      <x:c r="H435" s="83"/>
      <x:c r="I435" s="83"/>
      <x:c r="J435" s="83"/>
      <x:c r="K435" s="83"/>
      <x:c r="L435" s="83"/>
      <x:c r="M435" s="75" t="str">
        <x:f>IF(COUNTA(A435:L435)=0,"",IF(AND(A435&lt;&gt;"",B435&lt;&gt;"",C435="N4",OR(D435="Ngữ pháp",D435="Đọc",D435="Nghe",D435="Từ và kanji",D435="Giao tiếp"),OR(F435="Mới",F435="Ôn lại",F435="Hỗ trợ",F435="Luyện"),ISNUMBER(G435),ISNUMBER(H435),ISNUMBER(I435),ISNUMBER(J435),G435&gt;=0,H435&gt;=G435,I435&gt;=H435,I435&gt;0,J435&gt;=0,MOD(G435,1)=0,MOD(H435,1)=0,MOD(I435,1)=0,COUNTIFS($A$8:A435,A435,$D$8:D435,D435,$F$8:F435,F435)=1),"Hợp lệ","Kiểm tra/trùng"))</x:f>
      </x:c>
    </x:row>
    <x:row r="436" ht="27" customHeight="1">
      <x:c r="A436" s="83"/>
      <x:c r="B436" s="83"/>
      <x:c r="C436" s="83"/>
      <x:c r="D436" s="83"/>
      <x:c r="E436" s="83"/>
      <x:c r="F436" s="83"/>
      <x:c r="G436" s="83"/>
      <x:c r="H436" s="83"/>
      <x:c r="I436" s="83"/>
      <x:c r="J436" s="83"/>
      <x:c r="K436" s="83"/>
      <x:c r="L436" s="83"/>
      <x:c r="M436" s="75" t="str">
        <x:f>IF(COUNTA(A436:L436)=0,"",IF(AND(A436&lt;&gt;"",B436&lt;&gt;"",C436="N4",OR(D436="Ngữ pháp",D436="Đọc",D436="Nghe",D436="Từ và kanji",D436="Giao tiếp"),OR(F436="Mới",F436="Ôn lại",F436="Hỗ trợ",F436="Luyện"),ISNUMBER(G436),ISNUMBER(H436),ISNUMBER(I436),ISNUMBER(J436),G436&gt;=0,H436&gt;=G436,I436&gt;=H436,I436&gt;0,J436&gt;=0,MOD(G436,1)=0,MOD(H436,1)=0,MOD(I436,1)=0,COUNTIFS($A$8:A436,A436,$D$8:D436,D436,$F$8:F436,F436)=1),"Hợp lệ","Kiểm tra/trùng"))</x:f>
      </x:c>
    </x:row>
    <x:row r="437" ht="27" customHeight="1">
      <x:c r="A437" s="83"/>
      <x:c r="B437" s="83"/>
      <x:c r="C437" s="83"/>
      <x:c r="D437" s="83"/>
      <x:c r="E437" s="83"/>
      <x:c r="F437" s="83"/>
      <x:c r="G437" s="83"/>
      <x:c r="H437" s="83"/>
      <x:c r="I437" s="83"/>
      <x:c r="J437" s="83"/>
      <x:c r="K437" s="83"/>
      <x:c r="L437" s="83"/>
      <x:c r="M437" s="75" t="str">
        <x:f>IF(COUNTA(A437:L437)=0,"",IF(AND(A437&lt;&gt;"",B437&lt;&gt;"",C437="N4",OR(D437="Ngữ pháp",D437="Đọc",D437="Nghe",D437="Từ và kanji",D437="Giao tiếp"),OR(F437="Mới",F437="Ôn lại",F437="Hỗ trợ",F437="Luyện"),ISNUMBER(G437),ISNUMBER(H437),ISNUMBER(I437),ISNUMBER(J437),G437&gt;=0,H437&gt;=G437,I437&gt;=H437,I437&gt;0,J437&gt;=0,MOD(G437,1)=0,MOD(H437,1)=0,MOD(I437,1)=0,COUNTIFS($A$8:A437,A437,$D$8:D437,D437,$F$8:F437,F437)=1),"Hợp lệ","Kiểm tra/trùng"))</x:f>
      </x:c>
    </x:row>
    <x:row r="438" ht="27" customHeight="1">
      <x:c r="A438" s="83"/>
      <x:c r="B438" s="83"/>
      <x:c r="C438" s="83"/>
      <x:c r="D438" s="83"/>
      <x:c r="E438" s="83"/>
      <x:c r="F438" s="83"/>
      <x:c r="G438" s="83"/>
      <x:c r="H438" s="83"/>
      <x:c r="I438" s="83"/>
      <x:c r="J438" s="83"/>
      <x:c r="K438" s="83"/>
      <x:c r="L438" s="83"/>
      <x:c r="M438" s="75" t="str">
        <x:f>IF(COUNTA(A438:L438)=0,"",IF(AND(A438&lt;&gt;"",B438&lt;&gt;"",C438="N4",OR(D438="Ngữ pháp",D438="Đọc",D438="Nghe",D438="Từ và kanji",D438="Giao tiếp"),OR(F438="Mới",F438="Ôn lại",F438="Hỗ trợ",F438="Luyện"),ISNUMBER(G438),ISNUMBER(H438),ISNUMBER(I438),ISNUMBER(J438),G438&gt;=0,H438&gt;=G438,I438&gt;=H438,I438&gt;0,J438&gt;=0,MOD(G438,1)=0,MOD(H438,1)=0,MOD(I438,1)=0,COUNTIFS($A$8:A438,A438,$D$8:D438,D438,$F$8:F438,F438)=1),"Hợp lệ","Kiểm tra/trùng"))</x:f>
      </x:c>
    </x:row>
    <x:row r="439" ht="27" customHeight="1">
      <x:c r="A439" s="83"/>
      <x:c r="B439" s="83"/>
      <x:c r="C439" s="83"/>
      <x:c r="D439" s="83"/>
      <x:c r="E439" s="83"/>
      <x:c r="F439" s="83"/>
      <x:c r="G439" s="83"/>
      <x:c r="H439" s="83"/>
      <x:c r="I439" s="83"/>
      <x:c r="J439" s="83"/>
      <x:c r="K439" s="83"/>
      <x:c r="L439" s="83"/>
      <x:c r="M439" s="75" t="str">
        <x:f>IF(COUNTA(A439:L439)=0,"",IF(AND(A439&lt;&gt;"",B439&lt;&gt;"",C439="N4",OR(D439="Ngữ pháp",D439="Đọc",D439="Nghe",D439="Từ và kanji",D439="Giao tiếp"),OR(F439="Mới",F439="Ôn lại",F439="Hỗ trợ",F439="Luyện"),ISNUMBER(G439),ISNUMBER(H439),ISNUMBER(I439),ISNUMBER(J439),G439&gt;=0,H439&gt;=G439,I439&gt;=H439,I439&gt;0,J439&gt;=0,MOD(G439,1)=0,MOD(H439,1)=0,MOD(I439,1)=0,COUNTIFS($A$8:A439,A439,$D$8:D439,D439,$F$8:F439,F439)=1),"Hợp lệ","Kiểm tra/trùng"))</x:f>
      </x:c>
    </x:row>
    <x:row r="440" ht="27" customHeight="1">
      <x:c r="A440" s="83"/>
      <x:c r="B440" s="83"/>
      <x:c r="C440" s="83"/>
      <x:c r="D440" s="83"/>
      <x:c r="E440" s="83"/>
      <x:c r="F440" s="83"/>
      <x:c r="G440" s="83"/>
      <x:c r="H440" s="83"/>
      <x:c r="I440" s="83"/>
      <x:c r="J440" s="83"/>
      <x:c r="K440" s="83"/>
      <x:c r="L440" s="83"/>
      <x:c r="M440" s="75" t="str">
        <x:f>IF(COUNTA(A440:L440)=0,"",IF(AND(A440&lt;&gt;"",B440&lt;&gt;"",C440="N4",OR(D440="Ngữ pháp",D440="Đọc",D440="Nghe",D440="Từ và kanji",D440="Giao tiếp"),OR(F440="Mới",F440="Ôn lại",F440="Hỗ trợ",F440="Luyện"),ISNUMBER(G440),ISNUMBER(H440),ISNUMBER(I440),ISNUMBER(J440),G440&gt;=0,H440&gt;=G440,I440&gt;=H440,I440&gt;0,J440&gt;=0,MOD(G440,1)=0,MOD(H440,1)=0,MOD(I440,1)=0,COUNTIFS($A$8:A440,A440,$D$8:D440,D440,$F$8:F440,F440)=1),"Hợp lệ","Kiểm tra/trùng"))</x:f>
      </x:c>
    </x:row>
    <x:row r="441" ht="27" customHeight="1">
      <x:c r="A441" s="83"/>
      <x:c r="B441" s="83"/>
      <x:c r="C441" s="83"/>
      <x:c r="D441" s="83"/>
      <x:c r="E441" s="83"/>
      <x:c r="F441" s="83"/>
      <x:c r="G441" s="83"/>
      <x:c r="H441" s="83"/>
      <x:c r="I441" s="83"/>
      <x:c r="J441" s="83"/>
      <x:c r="K441" s="83"/>
      <x:c r="L441" s="83"/>
      <x:c r="M441" s="75" t="str">
        <x:f>IF(COUNTA(A441:L441)=0,"",IF(AND(A441&lt;&gt;"",B441&lt;&gt;"",C441="N4",OR(D441="Ngữ pháp",D441="Đọc",D441="Nghe",D441="Từ và kanji",D441="Giao tiếp"),OR(F441="Mới",F441="Ôn lại",F441="Hỗ trợ",F441="Luyện"),ISNUMBER(G441),ISNUMBER(H441),ISNUMBER(I441),ISNUMBER(J441),G441&gt;=0,H441&gt;=G441,I441&gt;=H441,I441&gt;0,J441&gt;=0,MOD(G441,1)=0,MOD(H441,1)=0,MOD(I441,1)=0,COUNTIFS($A$8:A441,A441,$D$8:D441,D441,$F$8:F441,F441)=1),"Hợp lệ","Kiểm tra/trùng"))</x:f>
      </x:c>
    </x:row>
    <x:row r="442" ht="27" customHeight="1">
      <x:c r="A442" s="83"/>
      <x:c r="B442" s="83"/>
      <x:c r="C442" s="83"/>
      <x:c r="D442" s="83"/>
      <x:c r="E442" s="83"/>
      <x:c r="F442" s="83"/>
      <x:c r="G442" s="83"/>
      <x:c r="H442" s="83"/>
      <x:c r="I442" s="83"/>
      <x:c r="J442" s="83"/>
      <x:c r="K442" s="83"/>
      <x:c r="L442" s="83"/>
      <x:c r="M442" s="75" t="str">
        <x:f>IF(COUNTA(A442:L442)=0,"",IF(AND(A442&lt;&gt;"",B442&lt;&gt;"",C442="N4",OR(D442="Ngữ pháp",D442="Đọc",D442="Nghe",D442="Từ và kanji",D442="Giao tiếp"),OR(F442="Mới",F442="Ôn lại",F442="Hỗ trợ",F442="Luyện"),ISNUMBER(G442),ISNUMBER(H442),ISNUMBER(I442),ISNUMBER(J442),G442&gt;=0,H442&gt;=G442,I442&gt;=H442,I442&gt;0,J442&gt;=0,MOD(G442,1)=0,MOD(H442,1)=0,MOD(I442,1)=0,COUNTIFS($A$8:A442,A442,$D$8:D442,D442,$F$8:F442,F442)=1),"Hợp lệ","Kiểm tra/trùng"))</x:f>
      </x:c>
    </x:row>
    <x:row r="443" ht="27" customHeight="1">
      <x:c r="A443" s="83"/>
      <x:c r="B443" s="83"/>
      <x:c r="C443" s="83"/>
      <x:c r="D443" s="83"/>
      <x:c r="E443" s="83"/>
      <x:c r="F443" s="83"/>
      <x:c r="G443" s="83"/>
      <x:c r="H443" s="83"/>
      <x:c r="I443" s="83"/>
      <x:c r="J443" s="83"/>
      <x:c r="K443" s="83"/>
      <x:c r="L443" s="83"/>
      <x:c r="M443" s="75" t="str">
        <x:f>IF(COUNTA(A443:L443)=0,"",IF(AND(A443&lt;&gt;"",B443&lt;&gt;"",C443="N4",OR(D443="Ngữ pháp",D443="Đọc",D443="Nghe",D443="Từ và kanji",D443="Giao tiếp"),OR(F443="Mới",F443="Ôn lại",F443="Hỗ trợ",F443="Luyện"),ISNUMBER(G443),ISNUMBER(H443),ISNUMBER(I443),ISNUMBER(J443),G443&gt;=0,H443&gt;=G443,I443&gt;=H443,I443&gt;0,J443&gt;=0,MOD(G443,1)=0,MOD(H443,1)=0,MOD(I443,1)=0,COUNTIFS($A$8:A443,A443,$D$8:D443,D443,$F$8:F443,F443)=1),"Hợp lệ","Kiểm tra/trùng"))</x:f>
      </x:c>
    </x:row>
    <x:row r="444" ht="27" customHeight="1">
      <x:c r="A444" s="83"/>
      <x:c r="B444" s="83"/>
      <x:c r="C444" s="83"/>
      <x:c r="D444" s="83"/>
      <x:c r="E444" s="83"/>
      <x:c r="F444" s="83"/>
      <x:c r="G444" s="83"/>
      <x:c r="H444" s="83"/>
      <x:c r="I444" s="83"/>
      <x:c r="J444" s="83"/>
      <x:c r="K444" s="83"/>
      <x:c r="L444" s="83"/>
      <x:c r="M444" s="75" t="str">
        <x:f>IF(COUNTA(A444:L444)=0,"",IF(AND(A444&lt;&gt;"",B444&lt;&gt;"",C444="N4",OR(D444="Ngữ pháp",D444="Đọc",D444="Nghe",D444="Từ và kanji",D444="Giao tiếp"),OR(F444="Mới",F444="Ôn lại",F444="Hỗ trợ",F444="Luyện"),ISNUMBER(G444),ISNUMBER(H444),ISNUMBER(I444),ISNUMBER(J444),G444&gt;=0,H444&gt;=G444,I444&gt;=H444,I444&gt;0,J444&gt;=0,MOD(G444,1)=0,MOD(H444,1)=0,MOD(I444,1)=0,COUNTIFS($A$8:A444,A444,$D$8:D444,D444,$F$8:F444,F444)=1),"Hợp lệ","Kiểm tra/trùng"))</x:f>
      </x:c>
    </x:row>
    <x:row r="445" ht="27" customHeight="1">
      <x:c r="A445" s="83"/>
      <x:c r="B445" s="83"/>
      <x:c r="C445" s="83"/>
      <x:c r="D445" s="83"/>
      <x:c r="E445" s="83"/>
      <x:c r="F445" s="83"/>
      <x:c r="G445" s="83"/>
      <x:c r="H445" s="83"/>
      <x:c r="I445" s="83"/>
      <x:c r="J445" s="83"/>
      <x:c r="K445" s="83"/>
      <x:c r="L445" s="83"/>
      <x:c r="M445" s="75" t="str">
        <x:f>IF(COUNTA(A445:L445)=0,"",IF(AND(A445&lt;&gt;"",B445&lt;&gt;"",C445="N4",OR(D445="Ngữ pháp",D445="Đọc",D445="Nghe",D445="Từ và kanji",D445="Giao tiếp"),OR(F445="Mới",F445="Ôn lại",F445="Hỗ trợ",F445="Luyện"),ISNUMBER(G445),ISNUMBER(H445),ISNUMBER(I445),ISNUMBER(J445),G445&gt;=0,H445&gt;=G445,I445&gt;=H445,I445&gt;0,J445&gt;=0,MOD(G445,1)=0,MOD(H445,1)=0,MOD(I445,1)=0,COUNTIFS($A$8:A445,A445,$D$8:D445,D445,$F$8:F445,F445)=1),"Hợp lệ","Kiểm tra/trùng"))</x:f>
      </x:c>
    </x:row>
    <x:row r="446" ht="27" customHeight="1">
      <x:c r="A446" s="83"/>
      <x:c r="B446" s="83"/>
      <x:c r="C446" s="83"/>
      <x:c r="D446" s="83"/>
      <x:c r="E446" s="83"/>
      <x:c r="F446" s="83"/>
      <x:c r="G446" s="83"/>
      <x:c r="H446" s="83"/>
      <x:c r="I446" s="83"/>
      <x:c r="J446" s="83"/>
      <x:c r="K446" s="83"/>
      <x:c r="L446" s="83"/>
      <x:c r="M446" s="75" t="str">
        <x:f>IF(COUNTA(A446:L446)=0,"",IF(AND(A446&lt;&gt;"",B446&lt;&gt;"",C446="N4",OR(D446="Ngữ pháp",D446="Đọc",D446="Nghe",D446="Từ và kanji",D446="Giao tiếp"),OR(F446="Mới",F446="Ôn lại",F446="Hỗ trợ",F446="Luyện"),ISNUMBER(G446),ISNUMBER(H446),ISNUMBER(I446),ISNUMBER(J446),G446&gt;=0,H446&gt;=G446,I446&gt;=H446,I446&gt;0,J446&gt;=0,MOD(G446,1)=0,MOD(H446,1)=0,MOD(I446,1)=0,COUNTIFS($A$8:A446,A446,$D$8:D446,D446,$F$8:F446,F446)=1),"Hợp lệ","Kiểm tra/trùng"))</x:f>
      </x:c>
    </x:row>
    <x:row r="447" ht="27" customHeight="1">
      <x:c r="A447" s="83"/>
      <x:c r="B447" s="83"/>
      <x:c r="C447" s="83"/>
      <x:c r="D447" s="83"/>
      <x:c r="E447" s="83"/>
      <x:c r="F447" s="83"/>
      <x:c r="G447" s="83"/>
      <x:c r="H447" s="83"/>
      <x:c r="I447" s="83"/>
      <x:c r="J447" s="83"/>
      <x:c r="K447" s="83"/>
      <x:c r="L447" s="83"/>
      <x:c r="M447" s="75" t="str">
        <x:f>IF(COUNTA(A447:L447)=0,"",IF(AND(A447&lt;&gt;"",B447&lt;&gt;"",C447="N4",OR(D447="Ngữ pháp",D447="Đọc",D447="Nghe",D447="Từ và kanji",D447="Giao tiếp"),OR(F447="Mới",F447="Ôn lại",F447="Hỗ trợ",F447="Luyện"),ISNUMBER(G447),ISNUMBER(H447),ISNUMBER(I447),ISNUMBER(J447),G447&gt;=0,H447&gt;=G447,I447&gt;=H447,I447&gt;0,J447&gt;=0,MOD(G447,1)=0,MOD(H447,1)=0,MOD(I447,1)=0,COUNTIFS($A$8:A447,A447,$D$8:D447,D447,$F$8:F447,F447)=1),"Hợp lệ","Kiểm tra/trùng"))</x:f>
      </x:c>
    </x:row>
    <x:row r="448" ht="27" customHeight="1">
      <x:c r="A448" s="83"/>
      <x:c r="B448" s="83"/>
      <x:c r="C448" s="83"/>
      <x:c r="D448" s="83"/>
      <x:c r="E448" s="83"/>
      <x:c r="F448" s="83"/>
      <x:c r="G448" s="83"/>
      <x:c r="H448" s="83"/>
      <x:c r="I448" s="83"/>
      <x:c r="J448" s="83"/>
      <x:c r="K448" s="83"/>
      <x:c r="L448" s="83"/>
      <x:c r="M448" s="75" t="str">
        <x:f>IF(COUNTA(A448:L448)=0,"",IF(AND(A448&lt;&gt;"",B448&lt;&gt;"",C448="N4",OR(D448="Ngữ pháp",D448="Đọc",D448="Nghe",D448="Từ và kanji",D448="Giao tiếp"),OR(F448="Mới",F448="Ôn lại",F448="Hỗ trợ",F448="Luyện"),ISNUMBER(G448),ISNUMBER(H448),ISNUMBER(I448),ISNUMBER(J448),G448&gt;=0,H448&gt;=G448,I448&gt;=H448,I448&gt;0,J448&gt;=0,MOD(G448,1)=0,MOD(H448,1)=0,MOD(I448,1)=0,COUNTIFS($A$8:A448,A448,$D$8:D448,D448,$F$8:F448,F448)=1),"Hợp lệ","Kiểm tra/trùng"))</x:f>
      </x:c>
    </x:row>
    <x:row r="449" ht="27" customHeight="1">
      <x:c r="A449" s="83"/>
      <x:c r="B449" s="83"/>
      <x:c r="C449" s="83"/>
      <x:c r="D449" s="83"/>
      <x:c r="E449" s="83"/>
      <x:c r="F449" s="83"/>
      <x:c r="G449" s="83"/>
      <x:c r="H449" s="83"/>
      <x:c r="I449" s="83"/>
      <x:c r="J449" s="83"/>
      <x:c r="K449" s="83"/>
      <x:c r="L449" s="83"/>
      <x:c r="M449" s="75" t="str">
        <x:f>IF(COUNTA(A449:L449)=0,"",IF(AND(A449&lt;&gt;"",B449&lt;&gt;"",C449="N4",OR(D449="Ngữ pháp",D449="Đọc",D449="Nghe",D449="Từ và kanji",D449="Giao tiếp"),OR(F449="Mới",F449="Ôn lại",F449="Hỗ trợ",F449="Luyện"),ISNUMBER(G449),ISNUMBER(H449),ISNUMBER(I449),ISNUMBER(J449),G449&gt;=0,H449&gt;=G449,I449&gt;=H449,I449&gt;0,J449&gt;=0,MOD(G449,1)=0,MOD(H449,1)=0,MOD(I449,1)=0,COUNTIFS($A$8:A449,A449,$D$8:D449,D449,$F$8:F449,F449)=1),"Hợp lệ","Kiểm tra/trùng"))</x:f>
      </x:c>
    </x:row>
    <x:row r="450" ht="27" customHeight="1">
      <x:c r="A450" s="83"/>
      <x:c r="B450" s="83"/>
      <x:c r="C450" s="83"/>
      <x:c r="D450" s="83"/>
      <x:c r="E450" s="83"/>
      <x:c r="F450" s="83"/>
      <x:c r="G450" s="83"/>
      <x:c r="H450" s="83"/>
      <x:c r="I450" s="83"/>
      <x:c r="J450" s="83"/>
      <x:c r="K450" s="83"/>
      <x:c r="L450" s="83"/>
      <x:c r="M450" s="75" t="str">
        <x:f>IF(COUNTA(A450:L450)=0,"",IF(AND(A450&lt;&gt;"",B450&lt;&gt;"",C450="N4",OR(D450="Ngữ pháp",D450="Đọc",D450="Nghe",D450="Từ và kanji",D450="Giao tiếp"),OR(F450="Mới",F450="Ôn lại",F450="Hỗ trợ",F450="Luyện"),ISNUMBER(G450),ISNUMBER(H450),ISNUMBER(I450),ISNUMBER(J450),G450&gt;=0,H450&gt;=G450,I450&gt;=H450,I450&gt;0,J450&gt;=0,MOD(G450,1)=0,MOD(H450,1)=0,MOD(I450,1)=0,COUNTIFS($A$8:A450,A450,$D$8:D450,D450,$F$8:F450,F450)=1),"Hợp lệ","Kiểm tra/trùng"))</x:f>
      </x:c>
    </x:row>
    <x:row r="451" ht="27" customHeight="1">
      <x:c r="A451" s="83"/>
      <x:c r="B451" s="83"/>
      <x:c r="C451" s="83"/>
      <x:c r="D451" s="83"/>
      <x:c r="E451" s="83"/>
      <x:c r="F451" s="83"/>
      <x:c r="G451" s="83"/>
      <x:c r="H451" s="83"/>
      <x:c r="I451" s="83"/>
      <x:c r="J451" s="83"/>
      <x:c r="K451" s="83"/>
      <x:c r="L451" s="83"/>
      <x:c r="M451" s="75" t="str">
        <x:f>IF(COUNTA(A451:L451)=0,"",IF(AND(A451&lt;&gt;"",B451&lt;&gt;"",C451="N4",OR(D451="Ngữ pháp",D451="Đọc",D451="Nghe",D451="Từ và kanji",D451="Giao tiếp"),OR(F451="Mới",F451="Ôn lại",F451="Hỗ trợ",F451="Luyện"),ISNUMBER(G451),ISNUMBER(H451),ISNUMBER(I451),ISNUMBER(J451),G451&gt;=0,H451&gt;=G451,I451&gt;=H451,I451&gt;0,J451&gt;=0,MOD(G451,1)=0,MOD(H451,1)=0,MOD(I451,1)=0,COUNTIFS($A$8:A451,A451,$D$8:D451,D451,$F$8:F451,F451)=1),"Hợp lệ","Kiểm tra/trùng"))</x:f>
      </x:c>
    </x:row>
    <x:row r="452" ht="27" customHeight="1">
      <x:c r="A452" s="83"/>
      <x:c r="B452" s="83"/>
      <x:c r="C452" s="83"/>
      <x:c r="D452" s="83"/>
      <x:c r="E452" s="83"/>
      <x:c r="F452" s="83"/>
      <x:c r="G452" s="83"/>
      <x:c r="H452" s="83"/>
      <x:c r="I452" s="83"/>
      <x:c r="J452" s="83"/>
      <x:c r="K452" s="83"/>
      <x:c r="L452" s="83"/>
      <x:c r="M452" s="75" t="str">
        <x:f>IF(COUNTA(A452:L452)=0,"",IF(AND(A452&lt;&gt;"",B452&lt;&gt;"",C452="N4",OR(D452="Ngữ pháp",D452="Đọc",D452="Nghe",D452="Từ và kanji",D452="Giao tiếp"),OR(F452="Mới",F452="Ôn lại",F452="Hỗ trợ",F452="Luyện"),ISNUMBER(G452),ISNUMBER(H452),ISNUMBER(I452),ISNUMBER(J452),G452&gt;=0,H452&gt;=G452,I452&gt;=H452,I452&gt;0,J452&gt;=0,MOD(G452,1)=0,MOD(H452,1)=0,MOD(I452,1)=0,COUNTIFS($A$8:A452,A452,$D$8:D452,D452,$F$8:F452,F452)=1),"Hợp lệ","Kiểm tra/trùng"))</x:f>
      </x:c>
    </x:row>
    <x:row r="453" ht="27" customHeight="1">
      <x:c r="A453" s="83"/>
      <x:c r="B453" s="83"/>
      <x:c r="C453" s="83"/>
      <x:c r="D453" s="83"/>
      <x:c r="E453" s="83"/>
      <x:c r="F453" s="83"/>
      <x:c r="G453" s="83"/>
      <x:c r="H453" s="83"/>
      <x:c r="I453" s="83"/>
      <x:c r="J453" s="83"/>
      <x:c r="K453" s="83"/>
      <x:c r="L453" s="83"/>
      <x:c r="M453" s="75" t="str">
        <x:f>IF(COUNTA(A453:L453)=0,"",IF(AND(A453&lt;&gt;"",B453&lt;&gt;"",C453="N4",OR(D453="Ngữ pháp",D453="Đọc",D453="Nghe",D453="Từ và kanji",D453="Giao tiếp"),OR(F453="Mới",F453="Ôn lại",F453="Hỗ trợ",F453="Luyện"),ISNUMBER(G453),ISNUMBER(H453),ISNUMBER(I453),ISNUMBER(J453),G453&gt;=0,H453&gt;=G453,I453&gt;=H453,I453&gt;0,J453&gt;=0,MOD(G453,1)=0,MOD(H453,1)=0,MOD(I453,1)=0,COUNTIFS($A$8:A453,A453,$D$8:D453,D453,$F$8:F453,F453)=1),"Hợp lệ","Kiểm tra/trùng"))</x:f>
      </x:c>
    </x:row>
    <x:row r="454" ht="27" customHeight="1">
      <x:c r="A454" s="83"/>
      <x:c r="B454" s="83"/>
      <x:c r="C454" s="83"/>
      <x:c r="D454" s="83"/>
      <x:c r="E454" s="83"/>
      <x:c r="F454" s="83"/>
      <x:c r="G454" s="83"/>
      <x:c r="H454" s="83"/>
      <x:c r="I454" s="83"/>
      <x:c r="J454" s="83"/>
      <x:c r="K454" s="83"/>
      <x:c r="L454" s="83"/>
      <x:c r="M454" s="75" t="str">
        <x:f>IF(COUNTA(A454:L454)=0,"",IF(AND(A454&lt;&gt;"",B454&lt;&gt;"",C454="N4",OR(D454="Ngữ pháp",D454="Đọc",D454="Nghe",D454="Từ và kanji",D454="Giao tiếp"),OR(F454="Mới",F454="Ôn lại",F454="Hỗ trợ",F454="Luyện"),ISNUMBER(G454),ISNUMBER(H454),ISNUMBER(I454),ISNUMBER(J454),G454&gt;=0,H454&gt;=G454,I454&gt;=H454,I454&gt;0,J454&gt;=0,MOD(G454,1)=0,MOD(H454,1)=0,MOD(I454,1)=0,COUNTIFS($A$8:A454,A454,$D$8:D454,D454,$F$8:F454,F454)=1),"Hợp lệ","Kiểm tra/trùng"))</x:f>
      </x:c>
    </x:row>
    <x:row r="455" ht="27" customHeight="1">
      <x:c r="A455" s="83"/>
      <x:c r="B455" s="83"/>
      <x:c r="C455" s="83"/>
      <x:c r="D455" s="83"/>
      <x:c r="E455" s="83"/>
      <x:c r="F455" s="83"/>
      <x:c r="G455" s="83"/>
      <x:c r="H455" s="83"/>
      <x:c r="I455" s="83"/>
      <x:c r="J455" s="83"/>
      <x:c r="K455" s="83"/>
      <x:c r="L455" s="83"/>
      <x:c r="M455" s="75" t="str">
        <x:f>IF(COUNTA(A455:L455)=0,"",IF(AND(A455&lt;&gt;"",B455&lt;&gt;"",C455="N4",OR(D455="Ngữ pháp",D455="Đọc",D455="Nghe",D455="Từ và kanji",D455="Giao tiếp"),OR(F455="Mới",F455="Ôn lại",F455="Hỗ trợ",F455="Luyện"),ISNUMBER(G455),ISNUMBER(H455),ISNUMBER(I455),ISNUMBER(J455),G455&gt;=0,H455&gt;=G455,I455&gt;=H455,I455&gt;0,J455&gt;=0,MOD(G455,1)=0,MOD(H455,1)=0,MOD(I455,1)=0,COUNTIFS($A$8:A455,A455,$D$8:D455,D455,$F$8:F455,F455)=1),"Hợp lệ","Kiểm tra/trùng"))</x:f>
      </x:c>
    </x:row>
    <x:row r="456" ht="27" customHeight="1">
      <x:c r="A456" s="83"/>
      <x:c r="B456" s="83"/>
      <x:c r="C456" s="83"/>
      <x:c r="D456" s="83"/>
      <x:c r="E456" s="83"/>
      <x:c r="F456" s="83"/>
      <x:c r="G456" s="83"/>
      <x:c r="H456" s="83"/>
      <x:c r="I456" s="83"/>
      <x:c r="J456" s="83"/>
      <x:c r="K456" s="83"/>
      <x:c r="L456" s="83"/>
      <x:c r="M456" s="75" t="str">
        <x:f>IF(COUNTA(A456:L456)=0,"",IF(AND(A456&lt;&gt;"",B456&lt;&gt;"",C456="N4",OR(D456="Ngữ pháp",D456="Đọc",D456="Nghe",D456="Từ và kanji",D456="Giao tiếp"),OR(F456="Mới",F456="Ôn lại",F456="Hỗ trợ",F456="Luyện"),ISNUMBER(G456),ISNUMBER(H456),ISNUMBER(I456),ISNUMBER(J456),G456&gt;=0,H456&gt;=G456,I456&gt;=H456,I456&gt;0,J456&gt;=0,MOD(G456,1)=0,MOD(H456,1)=0,MOD(I456,1)=0,COUNTIFS($A$8:A456,A456,$D$8:D456,D456,$F$8:F456,F456)=1),"Hợp lệ","Kiểm tra/trùng"))</x:f>
      </x:c>
    </x:row>
    <x:row r="457" ht="27" customHeight="1">
      <x:c r="A457" s="83"/>
      <x:c r="B457" s="83"/>
      <x:c r="C457" s="83"/>
      <x:c r="D457" s="83"/>
      <x:c r="E457" s="83"/>
      <x:c r="F457" s="83"/>
      <x:c r="G457" s="83"/>
      <x:c r="H457" s="83"/>
      <x:c r="I457" s="83"/>
      <x:c r="J457" s="83"/>
      <x:c r="K457" s="83"/>
      <x:c r="L457" s="83"/>
      <x:c r="M457" s="75" t="str">
        <x:f>IF(COUNTA(A457:L457)=0,"",IF(AND(A457&lt;&gt;"",B457&lt;&gt;"",C457="N4",OR(D457="Ngữ pháp",D457="Đọc",D457="Nghe",D457="Từ và kanji",D457="Giao tiếp"),OR(F457="Mới",F457="Ôn lại",F457="Hỗ trợ",F457="Luyện"),ISNUMBER(G457),ISNUMBER(H457),ISNUMBER(I457),ISNUMBER(J457),G457&gt;=0,H457&gt;=G457,I457&gt;=H457,I457&gt;0,J457&gt;=0,MOD(G457,1)=0,MOD(H457,1)=0,MOD(I457,1)=0,COUNTIFS($A$8:A457,A457,$D$8:D457,D457,$F$8:F457,F457)=1),"Hợp lệ","Kiểm tra/trùng"))</x:f>
      </x:c>
    </x:row>
    <x:row r="458" ht="27" customHeight="1">
      <x:c r="A458" s="83"/>
      <x:c r="B458" s="83"/>
      <x:c r="C458" s="83"/>
      <x:c r="D458" s="83"/>
      <x:c r="E458" s="83"/>
      <x:c r="F458" s="83"/>
      <x:c r="G458" s="83"/>
      <x:c r="H458" s="83"/>
      <x:c r="I458" s="83"/>
      <x:c r="J458" s="83"/>
      <x:c r="K458" s="83"/>
      <x:c r="L458" s="83"/>
      <x:c r="M458" s="75" t="str">
        <x:f>IF(COUNTA(A458:L458)=0,"",IF(AND(A458&lt;&gt;"",B458&lt;&gt;"",C458="N4",OR(D458="Ngữ pháp",D458="Đọc",D458="Nghe",D458="Từ và kanji",D458="Giao tiếp"),OR(F458="Mới",F458="Ôn lại",F458="Hỗ trợ",F458="Luyện"),ISNUMBER(G458),ISNUMBER(H458),ISNUMBER(I458),ISNUMBER(J458),G458&gt;=0,H458&gt;=G458,I458&gt;=H458,I458&gt;0,J458&gt;=0,MOD(G458,1)=0,MOD(H458,1)=0,MOD(I458,1)=0,COUNTIFS($A$8:A458,A458,$D$8:D458,D458,$F$8:F458,F458)=1),"Hợp lệ","Kiểm tra/trùng"))</x:f>
      </x:c>
    </x:row>
    <x:row r="459" ht="27" customHeight="1">
      <x:c r="A459" s="83"/>
      <x:c r="B459" s="83"/>
      <x:c r="C459" s="83"/>
      <x:c r="D459" s="83"/>
      <x:c r="E459" s="83"/>
      <x:c r="F459" s="83"/>
      <x:c r="G459" s="83"/>
      <x:c r="H459" s="83"/>
      <x:c r="I459" s="83"/>
      <x:c r="J459" s="83"/>
      <x:c r="K459" s="83"/>
      <x:c r="L459" s="83"/>
      <x:c r="M459" s="75" t="str">
        <x:f>IF(COUNTA(A459:L459)=0,"",IF(AND(A459&lt;&gt;"",B459&lt;&gt;"",C459="N4",OR(D459="Ngữ pháp",D459="Đọc",D459="Nghe",D459="Từ và kanji",D459="Giao tiếp"),OR(F459="Mới",F459="Ôn lại",F459="Hỗ trợ",F459="Luyện"),ISNUMBER(G459),ISNUMBER(H459),ISNUMBER(I459),ISNUMBER(J459),G459&gt;=0,H459&gt;=G459,I459&gt;=H459,I459&gt;0,J459&gt;=0,MOD(G459,1)=0,MOD(H459,1)=0,MOD(I459,1)=0,COUNTIFS($A$8:A459,A459,$D$8:D459,D459,$F$8:F459,F459)=1),"Hợp lệ","Kiểm tra/trùng"))</x:f>
      </x:c>
    </x:row>
    <x:row r="460" ht="27" customHeight="1">
      <x:c r="A460" s="83"/>
      <x:c r="B460" s="83"/>
      <x:c r="C460" s="83"/>
      <x:c r="D460" s="83"/>
      <x:c r="E460" s="83"/>
      <x:c r="F460" s="83"/>
      <x:c r="G460" s="83"/>
      <x:c r="H460" s="83"/>
      <x:c r="I460" s="83"/>
      <x:c r="J460" s="83"/>
      <x:c r="K460" s="83"/>
      <x:c r="L460" s="83"/>
      <x:c r="M460" s="75" t="str">
        <x:f>IF(COUNTA(A460:L460)=0,"",IF(AND(A460&lt;&gt;"",B460&lt;&gt;"",C460="N4",OR(D460="Ngữ pháp",D460="Đọc",D460="Nghe",D460="Từ và kanji",D460="Giao tiếp"),OR(F460="Mới",F460="Ôn lại",F460="Hỗ trợ",F460="Luyện"),ISNUMBER(G460),ISNUMBER(H460),ISNUMBER(I460),ISNUMBER(J460),G460&gt;=0,H460&gt;=G460,I460&gt;=H460,I460&gt;0,J460&gt;=0,MOD(G460,1)=0,MOD(H460,1)=0,MOD(I460,1)=0,COUNTIFS($A$8:A460,A460,$D$8:D460,D460,$F$8:F460,F460)=1),"Hợp lệ","Kiểm tra/trùng"))</x:f>
      </x:c>
    </x:row>
    <x:row r="461" ht="27" customHeight="1">
      <x:c r="A461" s="83"/>
      <x:c r="B461" s="83"/>
      <x:c r="C461" s="83"/>
      <x:c r="D461" s="83"/>
      <x:c r="E461" s="83"/>
      <x:c r="F461" s="83"/>
      <x:c r="G461" s="83"/>
      <x:c r="H461" s="83"/>
      <x:c r="I461" s="83"/>
      <x:c r="J461" s="83"/>
      <x:c r="K461" s="83"/>
      <x:c r="L461" s="83"/>
      <x:c r="M461" s="75" t="str">
        <x:f>IF(COUNTA(A461:L461)=0,"",IF(AND(A461&lt;&gt;"",B461&lt;&gt;"",C461="N4",OR(D461="Ngữ pháp",D461="Đọc",D461="Nghe",D461="Từ và kanji",D461="Giao tiếp"),OR(F461="Mới",F461="Ôn lại",F461="Hỗ trợ",F461="Luyện"),ISNUMBER(G461),ISNUMBER(H461),ISNUMBER(I461),ISNUMBER(J461),G461&gt;=0,H461&gt;=G461,I461&gt;=H461,I461&gt;0,J461&gt;=0,MOD(G461,1)=0,MOD(H461,1)=0,MOD(I461,1)=0,COUNTIFS($A$8:A461,A461,$D$8:D461,D461,$F$8:F461,F461)=1),"Hợp lệ","Kiểm tra/trùng"))</x:f>
      </x:c>
    </x:row>
    <x:row r="462" ht="27" customHeight="1">
      <x:c r="A462" s="83"/>
      <x:c r="B462" s="83"/>
      <x:c r="C462" s="83"/>
      <x:c r="D462" s="83"/>
      <x:c r="E462" s="83"/>
      <x:c r="F462" s="83"/>
      <x:c r="G462" s="83"/>
      <x:c r="H462" s="83"/>
      <x:c r="I462" s="83"/>
      <x:c r="J462" s="83"/>
      <x:c r="K462" s="83"/>
      <x:c r="L462" s="83"/>
      <x:c r="M462" s="75" t="str">
        <x:f>IF(COUNTA(A462:L462)=0,"",IF(AND(A462&lt;&gt;"",B462&lt;&gt;"",C462="N4",OR(D462="Ngữ pháp",D462="Đọc",D462="Nghe",D462="Từ và kanji",D462="Giao tiếp"),OR(F462="Mới",F462="Ôn lại",F462="Hỗ trợ",F462="Luyện"),ISNUMBER(G462),ISNUMBER(H462),ISNUMBER(I462),ISNUMBER(J462),G462&gt;=0,H462&gt;=G462,I462&gt;=H462,I462&gt;0,J462&gt;=0,MOD(G462,1)=0,MOD(H462,1)=0,MOD(I462,1)=0,COUNTIFS($A$8:A462,A462,$D$8:D462,D462,$F$8:F462,F462)=1),"Hợp lệ","Kiểm tra/trùng"))</x:f>
      </x:c>
    </x:row>
    <x:row r="463" ht="27" customHeight="1">
      <x:c r="A463" s="83"/>
      <x:c r="B463" s="83"/>
      <x:c r="C463" s="83"/>
      <x:c r="D463" s="83"/>
      <x:c r="E463" s="83"/>
      <x:c r="F463" s="83"/>
      <x:c r="G463" s="83"/>
      <x:c r="H463" s="83"/>
      <x:c r="I463" s="83"/>
      <x:c r="J463" s="83"/>
      <x:c r="K463" s="83"/>
      <x:c r="L463" s="83"/>
      <x:c r="M463" s="75" t="str">
        <x:f>IF(COUNTA(A463:L463)=0,"",IF(AND(A463&lt;&gt;"",B463&lt;&gt;"",C463="N4",OR(D463="Ngữ pháp",D463="Đọc",D463="Nghe",D463="Từ và kanji",D463="Giao tiếp"),OR(F463="Mới",F463="Ôn lại",F463="Hỗ trợ",F463="Luyện"),ISNUMBER(G463),ISNUMBER(H463),ISNUMBER(I463),ISNUMBER(J463),G463&gt;=0,H463&gt;=G463,I463&gt;=H463,I463&gt;0,J463&gt;=0,MOD(G463,1)=0,MOD(H463,1)=0,MOD(I463,1)=0,COUNTIFS($A$8:A463,A463,$D$8:D463,D463,$F$8:F463,F463)=1),"Hợp lệ","Kiểm tra/trùng"))</x:f>
      </x:c>
    </x:row>
    <x:row r="464" ht="27" customHeight="1">
      <x:c r="A464" s="83"/>
      <x:c r="B464" s="83"/>
      <x:c r="C464" s="83"/>
      <x:c r="D464" s="83"/>
      <x:c r="E464" s="83"/>
      <x:c r="F464" s="83"/>
      <x:c r="G464" s="83"/>
      <x:c r="H464" s="83"/>
      <x:c r="I464" s="83"/>
      <x:c r="J464" s="83"/>
      <x:c r="K464" s="83"/>
      <x:c r="L464" s="83"/>
      <x:c r="M464" s="75" t="str">
        <x:f>IF(COUNTA(A464:L464)=0,"",IF(AND(A464&lt;&gt;"",B464&lt;&gt;"",C464="N4",OR(D464="Ngữ pháp",D464="Đọc",D464="Nghe",D464="Từ và kanji",D464="Giao tiếp"),OR(F464="Mới",F464="Ôn lại",F464="Hỗ trợ",F464="Luyện"),ISNUMBER(G464),ISNUMBER(H464),ISNUMBER(I464),ISNUMBER(J464),G464&gt;=0,H464&gt;=G464,I464&gt;=H464,I464&gt;0,J464&gt;=0,MOD(G464,1)=0,MOD(H464,1)=0,MOD(I464,1)=0,COUNTIFS($A$8:A464,A464,$D$8:D464,D464,$F$8:F464,F464)=1),"Hợp lệ","Kiểm tra/trùng"))</x:f>
      </x:c>
    </x:row>
    <x:row r="465" ht="27" customHeight="1">
      <x:c r="A465" s="83"/>
      <x:c r="B465" s="83"/>
      <x:c r="C465" s="83"/>
      <x:c r="D465" s="83"/>
      <x:c r="E465" s="83"/>
      <x:c r="F465" s="83"/>
      <x:c r="G465" s="83"/>
      <x:c r="H465" s="83"/>
      <x:c r="I465" s="83"/>
      <x:c r="J465" s="83"/>
      <x:c r="K465" s="83"/>
      <x:c r="L465" s="83"/>
      <x:c r="M465" s="75" t="str">
        <x:f>IF(COUNTA(A465:L465)=0,"",IF(AND(A465&lt;&gt;"",B465&lt;&gt;"",C465="N4",OR(D465="Ngữ pháp",D465="Đọc",D465="Nghe",D465="Từ và kanji",D465="Giao tiếp"),OR(F465="Mới",F465="Ôn lại",F465="Hỗ trợ",F465="Luyện"),ISNUMBER(G465),ISNUMBER(H465),ISNUMBER(I465),ISNUMBER(J465),G465&gt;=0,H465&gt;=G465,I465&gt;=H465,I465&gt;0,J465&gt;=0,MOD(G465,1)=0,MOD(H465,1)=0,MOD(I465,1)=0,COUNTIFS($A$8:A465,A465,$D$8:D465,D465,$F$8:F465,F465)=1),"Hợp lệ","Kiểm tra/trùng"))</x:f>
      </x:c>
    </x:row>
    <x:row r="466" ht="27" customHeight="1">
      <x:c r="A466" s="83"/>
      <x:c r="B466" s="83"/>
      <x:c r="C466" s="83"/>
      <x:c r="D466" s="83"/>
      <x:c r="E466" s="83"/>
      <x:c r="F466" s="83"/>
      <x:c r="G466" s="83"/>
      <x:c r="H466" s="83"/>
      <x:c r="I466" s="83"/>
      <x:c r="J466" s="83"/>
      <x:c r="K466" s="83"/>
      <x:c r="L466" s="83"/>
      <x:c r="M466" s="75" t="str">
        <x:f>IF(COUNTA(A466:L466)=0,"",IF(AND(A466&lt;&gt;"",B466&lt;&gt;"",C466="N4",OR(D466="Ngữ pháp",D466="Đọc",D466="Nghe",D466="Từ và kanji",D466="Giao tiếp"),OR(F466="Mới",F466="Ôn lại",F466="Hỗ trợ",F466="Luyện"),ISNUMBER(G466),ISNUMBER(H466),ISNUMBER(I466),ISNUMBER(J466),G466&gt;=0,H466&gt;=G466,I466&gt;=H466,I466&gt;0,J466&gt;=0,MOD(G466,1)=0,MOD(H466,1)=0,MOD(I466,1)=0,COUNTIFS($A$8:A466,A466,$D$8:D466,D466,$F$8:F466,F466)=1),"Hợp lệ","Kiểm tra/trùng"))</x:f>
      </x:c>
    </x:row>
    <x:row r="467" ht="27" customHeight="1">
      <x:c r="A467" s="83"/>
      <x:c r="B467" s="83"/>
      <x:c r="C467" s="83"/>
      <x:c r="D467" s="83"/>
      <x:c r="E467" s="83"/>
      <x:c r="F467" s="83"/>
      <x:c r="G467" s="83"/>
      <x:c r="H467" s="83"/>
      <x:c r="I467" s="83"/>
      <x:c r="J467" s="83"/>
      <x:c r="K467" s="83"/>
      <x:c r="L467" s="83"/>
      <x:c r="M467" s="75" t="str">
        <x:f>IF(COUNTA(A467:L467)=0,"",IF(AND(A467&lt;&gt;"",B467&lt;&gt;"",C467="N4",OR(D467="Ngữ pháp",D467="Đọc",D467="Nghe",D467="Từ và kanji",D467="Giao tiếp"),OR(F467="Mới",F467="Ôn lại",F467="Hỗ trợ",F467="Luyện"),ISNUMBER(G467),ISNUMBER(H467),ISNUMBER(I467),ISNUMBER(J467),G467&gt;=0,H467&gt;=G467,I467&gt;=H467,I467&gt;0,J467&gt;=0,MOD(G467,1)=0,MOD(H467,1)=0,MOD(I467,1)=0,COUNTIFS($A$8:A467,A467,$D$8:D467,D467,$F$8:F467,F467)=1),"Hợp lệ","Kiểm tra/trùng"))</x:f>
      </x:c>
    </x:row>
    <x:row r="468" ht="27" customHeight="1">
      <x:c r="A468" s="83"/>
      <x:c r="B468" s="83"/>
      <x:c r="C468" s="83"/>
      <x:c r="D468" s="83"/>
      <x:c r="E468" s="83"/>
      <x:c r="F468" s="83"/>
      <x:c r="G468" s="83"/>
      <x:c r="H468" s="83"/>
      <x:c r="I468" s="83"/>
      <x:c r="J468" s="83"/>
      <x:c r="K468" s="83"/>
      <x:c r="L468" s="83"/>
      <x:c r="M468" s="75" t="str">
        <x:f>IF(COUNTA(A468:L468)=0,"",IF(AND(A468&lt;&gt;"",B468&lt;&gt;"",C468="N4",OR(D468="Ngữ pháp",D468="Đọc",D468="Nghe",D468="Từ và kanji",D468="Giao tiếp"),OR(F468="Mới",F468="Ôn lại",F468="Hỗ trợ",F468="Luyện"),ISNUMBER(G468),ISNUMBER(H468),ISNUMBER(I468),ISNUMBER(J468),G468&gt;=0,H468&gt;=G468,I468&gt;=H468,I468&gt;0,J468&gt;=0,MOD(G468,1)=0,MOD(H468,1)=0,MOD(I468,1)=0,COUNTIFS($A$8:A468,A468,$D$8:D468,D468,$F$8:F468,F468)=1),"Hợp lệ","Kiểm tra/trùng"))</x:f>
      </x:c>
    </x:row>
    <x:row r="469" ht="27" customHeight="1">
      <x:c r="A469" s="83"/>
      <x:c r="B469" s="83"/>
      <x:c r="C469" s="83"/>
      <x:c r="D469" s="83"/>
      <x:c r="E469" s="83"/>
      <x:c r="F469" s="83"/>
      <x:c r="G469" s="83"/>
      <x:c r="H469" s="83"/>
      <x:c r="I469" s="83"/>
      <x:c r="J469" s="83"/>
      <x:c r="K469" s="83"/>
      <x:c r="L469" s="83"/>
      <x:c r="M469" s="75" t="str">
        <x:f>IF(COUNTA(A469:L469)=0,"",IF(AND(A469&lt;&gt;"",B469&lt;&gt;"",C469="N4",OR(D469="Ngữ pháp",D469="Đọc",D469="Nghe",D469="Từ và kanji",D469="Giao tiếp"),OR(F469="Mới",F469="Ôn lại",F469="Hỗ trợ",F469="Luyện"),ISNUMBER(G469),ISNUMBER(H469),ISNUMBER(I469),ISNUMBER(J469),G469&gt;=0,H469&gt;=G469,I469&gt;=H469,I469&gt;0,J469&gt;=0,MOD(G469,1)=0,MOD(H469,1)=0,MOD(I469,1)=0,COUNTIFS($A$8:A469,A469,$D$8:D469,D469,$F$8:F469,F469)=1),"Hợp lệ","Kiểm tra/trùng"))</x:f>
      </x:c>
    </x:row>
    <x:row r="470" ht="27" customHeight="1">
      <x:c r="A470" s="83"/>
      <x:c r="B470" s="83"/>
      <x:c r="C470" s="83"/>
      <x:c r="D470" s="83"/>
      <x:c r="E470" s="83"/>
      <x:c r="F470" s="83"/>
      <x:c r="G470" s="83"/>
      <x:c r="H470" s="83"/>
      <x:c r="I470" s="83"/>
      <x:c r="J470" s="83"/>
      <x:c r="K470" s="83"/>
      <x:c r="L470" s="83"/>
      <x:c r="M470" s="75" t="str">
        <x:f>IF(COUNTA(A470:L470)=0,"",IF(AND(A470&lt;&gt;"",B470&lt;&gt;"",C470="N4",OR(D470="Ngữ pháp",D470="Đọc",D470="Nghe",D470="Từ và kanji",D470="Giao tiếp"),OR(F470="Mới",F470="Ôn lại",F470="Hỗ trợ",F470="Luyện"),ISNUMBER(G470),ISNUMBER(H470),ISNUMBER(I470),ISNUMBER(J470),G470&gt;=0,H470&gt;=G470,I470&gt;=H470,I470&gt;0,J470&gt;=0,MOD(G470,1)=0,MOD(H470,1)=0,MOD(I470,1)=0,COUNTIFS($A$8:A470,A470,$D$8:D470,D470,$F$8:F470,F470)=1),"Hợp lệ","Kiểm tra/trùng"))</x:f>
      </x:c>
    </x:row>
    <x:row r="471" ht="27" customHeight="1">
      <x:c r="A471" s="83"/>
      <x:c r="B471" s="83"/>
      <x:c r="C471" s="83"/>
      <x:c r="D471" s="83"/>
      <x:c r="E471" s="83"/>
      <x:c r="F471" s="83"/>
      <x:c r="G471" s="83"/>
      <x:c r="H471" s="83"/>
      <x:c r="I471" s="83"/>
      <x:c r="J471" s="83"/>
      <x:c r="K471" s="83"/>
      <x:c r="L471" s="83"/>
      <x:c r="M471" s="75" t="str">
        <x:f>IF(COUNTA(A471:L471)=0,"",IF(AND(A471&lt;&gt;"",B471&lt;&gt;"",C471="N4",OR(D471="Ngữ pháp",D471="Đọc",D471="Nghe",D471="Từ và kanji",D471="Giao tiếp"),OR(F471="Mới",F471="Ôn lại",F471="Hỗ trợ",F471="Luyện"),ISNUMBER(G471),ISNUMBER(H471),ISNUMBER(I471),ISNUMBER(J471),G471&gt;=0,H471&gt;=G471,I471&gt;=H471,I471&gt;0,J471&gt;=0,MOD(G471,1)=0,MOD(H471,1)=0,MOD(I471,1)=0,COUNTIFS($A$8:A471,A471,$D$8:D471,D471,$F$8:F471,F471)=1),"Hợp lệ","Kiểm tra/trùng"))</x:f>
      </x:c>
    </x:row>
    <x:row r="472" ht="27" customHeight="1">
      <x:c r="A472" s="83"/>
      <x:c r="B472" s="83"/>
      <x:c r="C472" s="83"/>
      <x:c r="D472" s="83"/>
      <x:c r="E472" s="83"/>
      <x:c r="F472" s="83"/>
      <x:c r="G472" s="83"/>
      <x:c r="H472" s="83"/>
      <x:c r="I472" s="83"/>
      <x:c r="J472" s="83"/>
      <x:c r="K472" s="83"/>
      <x:c r="L472" s="83"/>
      <x:c r="M472" s="75" t="str">
        <x:f>IF(COUNTA(A472:L472)=0,"",IF(AND(A472&lt;&gt;"",B472&lt;&gt;"",C472="N4",OR(D472="Ngữ pháp",D472="Đọc",D472="Nghe",D472="Từ và kanji",D472="Giao tiếp"),OR(F472="Mới",F472="Ôn lại",F472="Hỗ trợ",F472="Luyện"),ISNUMBER(G472),ISNUMBER(H472),ISNUMBER(I472),ISNUMBER(J472),G472&gt;=0,H472&gt;=G472,I472&gt;=H472,I472&gt;0,J472&gt;=0,MOD(G472,1)=0,MOD(H472,1)=0,MOD(I472,1)=0,COUNTIFS($A$8:A472,A472,$D$8:D472,D472,$F$8:F472,F472)=1),"Hợp lệ","Kiểm tra/trùng"))</x:f>
      </x:c>
    </x:row>
    <x:row r="473" ht="27" customHeight="1">
      <x:c r="A473" s="83"/>
      <x:c r="B473" s="83"/>
      <x:c r="C473" s="83"/>
      <x:c r="D473" s="83"/>
      <x:c r="E473" s="83"/>
      <x:c r="F473" s="83"/>
      <x:c r="G473" s="83"/>
      <x:c r="H473" s="83"/>
      <x:c r="I473" s="83"/>
      <x:c r="J473" s="83"/>
      <x:c r="K473" s="83"/>
      <x:c r="L473" s="83"/>
      <x:c r="M473" s="75" t="str">
        <x:f>IF(COUNTA(A473:L473)=0,"",IF(AND(A473&lt;&gt;"",B473&lt;&gt;"",C473="N4",OR(D473="Ngữ pháp",D473="Đọc",D473="Nghe",D473="Từ và kanji",D473="Giao tiếp"),OR(F473="Mới",F473="Ôn lại",F473="Hỗ trợ",F473="Luyện"),ISNUMBER(G473),ISNUMBER(H473),ISNUMBER(I473),ISNUMBER(J473),G473&gt;=0,H473&gt;=G473,I473&gt;=H473,I473&gt;0,J473&gt;=0,MOD(G473,1)=0,MOD(H473,1)=0,MOD(I473,1)=0,COUNTIFS($A$8:A473,A473,$D$8:D473,D473,$F$8:F473,F473)=1),"Hợp lệ","Kiểm tra/trùng"))</x:f>
      </x:c>
    </x:row>
    <x:row r="474" ht="27" customHeight="1">
      <x:c r="A474" s="83"/>
      <x:c r="B474" s="83"/>
      <x:c r="C474" s="83"/>
      <x:c r="D474" s="83"/>
      <x:c r="E474" s="83"/>
      <x:c r="F474" s="83"/>
      <x:c r="G474" s="83"/>
      <x:c r="H474" s="83"/>
      <x:c r="I474" s="83"/>
      <x:c r="J474" s="83"/>
      <x:c r="K474" s="83"/>
      <x:c r="L474" s="83"/>
      <x:c r="M474" s="75" t="str">
        <x:f>IF(COUNTA(A474:L474)=0,"",IF(AND(A474&lt;&gt;"",B474&lt;&gt;"",C474="N4",OR(D474="Ngữ pháp",D474="Đọc",D474="Nghe",D474="Từ và kanji",D474="Giao tiếp"),OR(F474="Mới",F474="Ôn lại",F474="Hỗ trợ",F474="Luyện"),ISNUMBER(G474),ISNUMBER(H474),ISNUMBER(I474),ISNUMBER(J474),G474&gt;=0,H474&gt;=G474,I474&gt;=H474,I474&gt;0,J474&gt;=0,MOD(G474,1)=0,MOD(H474,1)=0,MOD(I474,1)=0,COUNTIFS($A$8:A474,A474,$D$8:D474,D474,$F$8:F474,F474)=1),"Hợp lệ","Kiểm tra/trùng"))</x:f>
      </x:c>
    </x:row>
    <x:row r="475" ht="27" customHeight="1">
      <x:c r="A475" s="83"/>
      <x:c r="B475" s="83"/>
      <x:c r="C475" s="83"/>
      <x:c r="D475" s="83"/>
      <x:c r="E475" s="83"/>
      <x:c r="F475" s="83"/>
      <x:c r="G475" s="83"/>
      <x:c r="H475" s="83"/>
      <x:c r="I475" s="83"/>
      <x:c r="J475" s="83"/>
      <x:c r="K475" s="83"/>
      <x:c r="L475" s="83"/>
      <x:c r="M475" s="75" t="str">
        <x:f>IF(COUNTA(A475:L475)=0,"",IF(AND(A475&lt;&gt;"",B475&lt;&gt;"",C475="N4",OR(D475="Ngữ pháp",D475="Đọc",D475="Nghe",D475="Từ và kanji",D475="Giao tiếp"),OR(F475="Mới",F475="Ôn lại",F475="Hỗ trợ",F475="Luyện"),ISNUMBER(G475),ISNUMBER(H475),ISNUMBER(I475),ISNUMBER(J475),G475&gt;=0,H475&gt;=G475,I475&gt;=H475,I475&gt;0,J475&gt;=0,MOD(G475,1)=0,MOD(H475,1)=0,MOD(I475,1)=0,COUNTIFS($A$8:A475,A475,$D$8:D475,D475,$F$8:F475,F475)=1),"Hợp lệ","Kiểm tra/trùng"))</x:f>
      </x:c>
    </x:row>
    <x:row r="476" ht="27" customHeight="1">
      <x:c r="A476" s="83"/>
      <x:c r="B476" s="83"/>
      <x:c r="C476" s="83"/>
      <x:c r="D476" s="83"/>
      <x:c r="E476" s="83"/>
      <x:c r="F476" s="83"/>
      <x:c r="G476" s="83"/>
      <x:c r="H476" s="83"/>
      <x:c r="I476" s="83"/>
      <x:c r="J476" s="83"/>
      <x:c r="K476" s="83"/>
      <x:c r="L476" s="83"/>
      <x:c r="M476" s="75" t="str">
        <x:f>IF(COUNTA(A476:L476)=0,"",IF(AND(A476&lt;&gt;"",B476&lt;&gt;"",C476="N4",OR(D476="Ngữ pháp",D476="Đọc",D476="Nghe",D476="Từ và kanji",D476="Giao tiếp"),OR(F476="Mới",F476="Ôn lại",F476="Hỗ trợ",F476="Luyện"),ISNUMBER(G476),ISNUMBER(H476),ISNUMBER(I476),ISNUMBER(J476),G476&gt;=0,H476&gt;=G476,I476&gt;=H476,I476&gt;0,J476&gt;=0,MOD(G476,1)=0,MOD(H476,1)=0,MOD(I476,1)=0,COUNTIFS($A$8:A476,A476,$D$8:D476,D476,$F$8:F476,F476)=1),"Hợp lệ","Kiểm tra/trùng"))</x:f>
      </x:c>
    </x:row>
    <x:row r="477" ht="27" customHeight="1">
      <x:c r="A477" s="83"/>
      <x:c r="B477" s="83"/>
      <x:c r="C477" s="83"/>
      <x:c r="D477" s="83"/>
      <x:c r="E477" s="83"/>
      <x:c r="F477" s="83"/>
      <x:c r="G477" s="83"/>
      <x:c r="H477" s="83"/>
      <x:c r="I477" s="83"/>
      <x:c r="J477" s="83"/>
      <x:c r="K477" s="83"/>
      <x:c r="L477" s="83"/>
      <x:c r="M477" s="75" t="str">
        <x:f>IF(COUNTA(A477:L477)=0,"",IF(AND(A477&lt;&gt;"",B477&lt;&gt;"",C477="N4",OR(D477="Ngữ pháp",D477="Đọc",D477="Nghe",D477="Từ và kanji",D477="Giao tiếp"),OR(F477="Mới",F477="Ôn lại",F477="Hỗ trợ",F477="Luyện"),ISNUMBER(G477),ISNUMBER(H477),ISNUMBER(I477),ISNUMBER(J477),G477&gt;=0,H477&gt;=G477,I477&gt;=H477,I477&gt;0,J477&gt;=0,MOD(G477,1)=0,MOD(H477,1)=0,MOD(I477,1)=0,COUNTIFS($A$8:A477,A477,$D$8:D477,D477,$F$8:F477,F477)=1),"Hợp lệ","Kiểm tra/trùng"))</x:f>
      </x:c>
    </x:row>
    <x:row r="478" ht="27" customHeight="1">
      <x:c r="A478" s="83"/>
      <x:c r="B478" s="83"/>
      <x:c r="C478" s="83"/>
      <x:c r="D478" s="83"/>
      <x:c r="E478" s="83"/>
      <x:c r="F478" s="83"/>
      <x:c r="G478" s="83"/>
      <x:c r="H478" s="83"/>
      <x:c r="I478" s="83"/>
      <x:c r="J478" s="83"/>
      <x:c r="K478" s="83"/>
      <x:c r="L478" s="83"/>
      <x:c r="M478" s="75" t="str">
        <x:f>IF(COUNTA(A478:L478)=0,"",IF(AND(A478&lt;&gt;"",B478&lt;&gt;"",C478="N4",OR(D478="Ngữ pháp",D478="Đọc",D478="Nghe",D478="Từ và kanji",D478="Giao tiếp"),OR(F478="Mới",F478="Ôn lại",F478="Hỗ trợ",F478="Luyện"),ISNUMBER(G478),ISNUMBER(H478),ISNUMBER(I478),ISNUMBER(J478),G478&gt;=0,H478&gt;=G478,I478&gt;=H478,I478&gt;0,J478&gt;=0,MOD(G478,1)=0,MOD(H478,1)=0,MOD(I478,1)=0,COUNTIFS($A$8:A478,A478,$D$8:D478,D478,$F$8:F478,F478)=1),"Hợp lệ","Kiểm tra/trùng"))</x:f>
      </x:c>
    </x:row>
    <x:row r="479" ht="27" customHeight="1">
      <x:c r="A479" s="83"/>
      <x:c r="B479" s="83"/>
      <x:c r="C479" s="83"/>
      <x:c r="D479" s="83"/>
      <x:c r="E479" s="83"/>
      <x:c r="F479" s="83"/>
      <x:c r="G479" s="83"/>
      <x:c r="H479" s="83"/>
      <x:c r="I479" s="83"/>
      <x:c r="J479" s="83"/>
      <x:c r="K479" s="83"/>
      <x:c r="L479" s="83"/>
      <x:c r="M479" s="75" t="str">
        <x:f>IF(COUNTA(A479:L479)=0,"",IF(AND(A479&lt;&gt;"",B479&lt;&gt;"",C479="N4",OR(D479="Ngữ pháp",D479="Đọc",D479="Nghe",D479="Từ và kanji",D479="Giao tiếp"),OR(F479="Mới",F479="Ôn lại",F479="Hỗ trợ",F479="Luyện"),ISNUMBER(G479),ISNUMBER(H479),ISNUMBER(I479),ISNUMBER(J479),G479&gt;=0,H479&gt;=G479,I479&gt;=H479,I479&gt;0,J479&gt;=0,MOD(G479,1)=0,MOD(H479,1)=0,MOD(I479,1)=0,COUNTIFS($A$8:A479,A479,$D$8:D479,D479,$F$8:F479,F479)=1),"Hợp lệ","Kiểm tra/trùng"))</x:f>
      </x:c>
    </x:row>
    <x:row r="480" ht="27" customHeight="1">
      <x:c r="A480" s="83"/>
      <x:c r="B480" s="83"/>
      <x:c r="C480" s="83"/>
      <x:c r="D480" s="83"/>
      <x:c r="E480" s="83"/>
      <x:c r="F480" s="83"/>
      <x:c r="G480" s="83"/>
      <x:c r="H480" s="83"/>
      <x:c r="I480" s="83"/>
      <x:c r="J480" s="83"/>
      <x:c r="K480" s="83"/>
      <x:c r="L480" s="83"/>
      <x:c r="M480" s="75" t="str">
        <x:f>IF(COUNTA(A480:L480)=0,"",IF(AND(A480&lt;&gt;"",B480&lt;&gt;"",C480="N4",OR(D480="Ngữ pháp",D480="Đọc",D480="Nghe",D480="Từ và kanji",D480="Giao tiếp"),OR(F480="Mới",F480="Ôn lại",F480="Hỗ trợ",F480="Luyện"),ISNUMBER(G480),ISNUMBER(H480),ISNUMBER(I480),ISNUMBER(J480),G480&gt;=0,H480&gt;=G480,I480&gt;=H480,I480&gt;0,J480&gt;=0,MOD(G480,1)=0,MOD(H480,1)=0,MOD(I480,1)=0,COUNTIFS($A$8:A480,A480,$D$8:D480,D480,$F$8:F480,F480)=1),"Hợp lệ","Kiểm tra/trùng"))</x:f>
      </x:c>
    </x:row>
    <x:row r="481" ht="27" customHeight="1">
      <x:c r="A481" s="83"/>
      <x:c r="B481" s="83"/>
      <x:c r="C481" s="83"/>
      <x:c r="D481" s="83"/>
      <x:c r="E481" s="83"/>
      <x:c r="F481" s="83"/>
      <x:c r="G481" s="83"/>
      <x:c r="H481" s="83"/>
      <x:c r="I481" s="83"/>
      <x:c r="J481" s="83"/>
      <x:c r="K481" s="83"/>
      <x:c r="L481" s="83"/>
      <x:c r="M481" s="75" t="str">
        <x:f>IF(COUNTA(A481:L481)=0,"",IF(AND(A481&lt;&gt;"",B481&lt;&gt;"",C481="N4",OR(D481="Ngữ pháp",D481="Đọc",D481="Nghe",D481="Từ và kanji",D481="Giao tiếp"),OR(F481="Mới",F481="Ôn lại",F481="Hỗ trợ",F481="Luyện"),ISNUMBER(G481),ISNUMBER(H481),ISNUMBER(I481),ISNUMBER(J481),G481&gt;=0,H481&gt;=G481,I481&gt;=H481,I481&gt;0,J481&gt;=0,MOD(G481,1)=0,MOD(H481,1)=0,MOD(I481,1)=0,COUNTIFS($A$8:A481,A481,$D$8:D481,D481,$F$8:F481,F481)=1),"Hợp lệ","Kiểm tra/trùng"))</x:f>
      </x:c>
    </x:row>
    <x:row r="482" ht="27" customHeight="1">
      <x:c r="A482" s="83"/>
      <x:c r="B482" s="83"/>
      <x:c r="C482" s="83"/>
      <x:c r="D482" s="83"/>
      <x:c r="E482" s="83"/>
      <x:c r="F482" s="83"/>
      <x:c r="G482" s="83"/>
      <x:c r="H482" s="83"/>
      <x:c r="I482" s="83"/>
      <x:c r="J482" s="83"/>
      <x:c r="K482" s="83"/>
      <x:c r="L482" s="83"/>
      <x:c r="M482" s="75" t="str">
        <x:f>IF(COUNTA(A482:L482)=0,"",IF(AND(A482&lt;&gt;"",B482&lt;&gt;"",C482="N4",OR(D482="Ngữ pháp",D482="Đọc",D482="Nghe",D482="Từ và kanji",D482="Giao tiếp"),OR(F482="Mới",F482="Ôn lại",F482="Hỗ trợ",F482="Luyện"),ISNUMBER(G482),ISNUMBER(H482),ISNUMBER(I482),ISNUMBER(J482),G482&gt;=0,H482&gt;=G482,I482&gt;=H482,I482&gt;0,J482&gt;=0,MOD(G482,1)=0,MOD(H482,1)=0,MOD(I482,1)=0,COUNTIFS($A$8:A482,A482,$D$8:D482,D482,$F$8:F482,F482)=1),"Hợp lệ","Kiểm tra/trùng"))</x:f>
      </x:c>
    </x:row>
    <x:row r="483" ht="27" customHeight="1">
      <x:c r="A483" s="83"/>
      <x:c r="B483" s="83"/>
      <x:c r="C483" s="83"/>
      <x:c r="D483" s="83"/>
      <x:c r="E483" s="83"/>
      <x:c r="F483" s="83"/>
      <x:c r="G483" s="83"/>
      <x:c r="H483" s="83"/>
      <x:c r="I483" s="83"/>
      <x:c r="J483" s="83"/>
      <x:c r="K483" s="83"/>
      <x:c r="L483" s="83"/>
      <x:c r="M483" s="75" t="str">
        <x:f>IF(COUNTA(A483:L483)=0,"",IF(AND(A483&lt;&gt;"",B483&lt;&gt;"",C483="N4",OR(D483="Ngữ pháp",D483="Đọc",D483="Nghe",D483="Từ và kanji",D483="Giao tiếp"),OR(F483="Mới",F483="Ôn lại",F483="Hỗ trợ",F483="Luyện"),ISNUMBER(G483),ISNUMBER(H483),ISNUMBER(I483),ISNUMBER(J483),G483&gt;=0,H483&gt;=G483,I483&gt;=H483,I483&gt;0,J483&gt;=0,MOD(G483,1)=0,MOD(H483,1)=0,MOD(I483,1)=0,COUNTIFS($A$8:A483,A483,$D$8:D483,D483,$F$8:F483,F483)=1),"Hợp lệ","Kiểm tra/trùng"))</x:f>
      </x:c>
    </x:row>
    <x:row r="484" ht="27" customHeight="1">
      <x:c r="A484" s="83"/>
      <x:c r="B484" s="83"/>
      <x:c r="C484" s="83"/>
      <x:c r="D484" s="83"/>
      <x:c r="E484" s="83"/>
      <x:c r="F484" s="83"/>
      <x:c r="G484" s="83"/>
      <x:c r="H484" s="83"/>
      <x:c r="I484" s="83"/>
      <x:c r="J484" s="83"/>
      <x:c r="K484" s="83"/>
      <x:c r="L484" s="83"/>
      <x:c r="M484" s="75" t="str">
        <x:f>IF(COUNTA(A484:L484)=0,"",IF(AND(A484&lt;&gt;"",B484&lt;&gt;"",C484="N4",OR(D484="Ngữ pháp",D484="Đọc",D484="Nghe",D484="Từ và kanji",D484="Giao tiếp"),OR(F484="Mới",F484="Ôn lại",F484="Hỗ trợ",F484="Luyện"),ISNUMBER(G484),ISNUMBER(H484),ISNUMBER(I484),ISNUMBER(J484),G484&gt;=0,H484&gt;=G484,I484&gt;=H484,I484&gt;0,J484&gt;=0,MOD(G484,1)=0,MOD(H484,1)=0,MOD(I484,1)=0,COUNTIFS($A$8:A484,A484,$D$8:D484,D484,$F$8:F484,F484)=1),"Hợp lệ","Kiểm tra/trùng"))</x:f>
      </x:c>
    </x:row>
    <x:row r="485" ht="27" customHeight="1">
      <x:c r="A485" s="83"/>
      <x:c r="B485" s="83"/>
      <x:c r="C485" s="83"/>
      <x:c r="D485" s="83"/>
      <x:c r="E485" s="83"/>
      <x:c r="F485" s="83"/>
      <x:c r="G485" s="83"/>
      <x:c r="H485" s="83"/>
      <x:c r="I485" s="83"/>
      <x:c r="J485" s="83"/>
      <x:c r="K485" s="83"/>
      <x:c r="L485" s="83"/>
      <x:c r="M485" s="75" t="str">
        <x:f>IF(COUNTA(A485:L485)=0,"",IF(AND(A485&lt;&gt;"",B485&lt;&gt;"",C485="N4",OR(D485="Ngữ pháp",D485="Đọc",D485="Nghe",D485="Từ và kanji",D485="Giao tiếp"),OR(F485="Mới",F485="Ôn lại",F485="Hỗ trợ",F485="Luyện"),ISNUMBER(G485),ISNUMBER(H485),ISNUMBER(I485),ISNUMBER(J485),G485&gt;=0,H485&gt;=G485,I485&gt;=H485,I485&gt;0,J485&gt;=0,MOD(G485,1)=0,MOD(H485,1)=0,MOD(I485,1)=0,COUNTIFS($A$8:A485,A485,$D$8:D485,D485,$F$8:F485,F485)=1),"Hợp lệ","Kiểm tra/trùng"))</x:f>
      </x:c>
    </x:row>
    <x:row r="486" ht="27" customHeight="1">
      <x:c r="A486" s="83"/>
      <x:c r="B486" s="83"/>
      <x:c r="C486" s="83"/>
      <x:c r="D486" s="83"/>
      <x:c r="E486" s="83"/>
      <x:c r="F486" s="83"/>
      <x:c r="G486" s="83"/>
      <x:c r="H486" s="83"/>
      <x:c r="I486" s="83"/>
      <x:c r="J486" s="83"/>
      <x:c r="K486" s="83"/>
      <x:c r="L486" s="83"/>
      <x:c r="M486" s="75" t="str">
        <x:f>IF(COUNTA(A486:L486)=0,"",IF(AND(A486&lt;&gt;"",B486&lt;&gt;"",C486="N4",OR(D486="Ngữ pháp",D486="Đọc",D486="Nghe",D486="Từ và kanji",D486="Giao tiếp"),OR(F486="Mới",F486="Ôn lại",F486="Hỗ trợ",F486="Luyện"),ISNUMBER(G486),ISNUMBER(H486),ISNUMBER(I486),ISNUMBER(J486),G486&gt;=0,H486&gt;=G486,I486&gt;=H486,I486&gt;0,J486&gt;=0,MOD(G486,1)=0,MOD(H486,1)=0,MOD(I486,1)=0,COUNTIFS($A$8:A486,A486,$D$8:D486,D486,$F$8:F486,F486)=1),"Hợp lệ","Kiểm tra/trùng"))</x:f>
      </x:c>
    </x:row>
    <x:row r="487" ht="27" customHeight="1">
      <x:c r="A487" s="83"/>
      <x:c r="B487" s="83"/>
      <x:c r="C487" s="83"/>
      <x:c r="D487" s="83"/>
      <x:c r="E487" s="83"/>
      <x:c r="F487" s="83"/>
      <x:c r="G487" s="83"/>
      <x:c r="H487" s="83"/>
      <x:c r="I487" s="83"/>
      <x:c r="J487" s="83"/>
      <x:c r="K487" s="83"/>
      <x:c r="L487" s="83"/>
      <x:c r="M487" s="75" t="str">
        <x:f>IF(COUNTA(A487:L487)=0,"",IF(AND(A487&lt;&gt;"",B487&lt;&gt;"",C487="N4",OR(D487="Ngữ pháp",D487="Đọc",D487="Nghe",D487="Từ và kanji",D487="Giao tiếp"),OR(F487="Mới",F487="Ôn lại",F487="Hỗ trợ",F487="Luyện"),ISNUMBER(G487),ISNUMBER(H487),ISNUMBER(I487),ISNUMBER(J487),G487&gt;=0,H487&gt;=G487,I487&gt;=H487,I487&gt;0,J487&gt;=0,MOD(G487,1)=0,MOD(H487,1)=0,MOD(I487,1)=0,COUNTIFS($A$8:A487,A487,$D$8:D487,D487,$F$8:F487,F487)=1),"Hợp lệ","Kiểm tra/trùng"))</x:f>
      </x:c>
    </x:row>
    <x:row r="488" ht="27" customHeight="1">
      <x:c r="A488" s="83"/>
      <x:c r="B488" s="83"/>
      <x:c r="C488" s="83"/>
      <x:c r="D488" s="83"/>
      <x:c r="E488" s="83"/>
      <x:c r="F488" s="83"/>
      <x:c r="G488" s="83"/>
      <x:c r="H488" s="83"/>
      <x:c r="I488" s="83"/>
      <x:c r="J488" s="83"/>
      <x:c r="K488" s="83"/>
      <x:c r="L488" s="83"/>
      <x:c r="M488" s="75" t="str">
        <x:f>IF(COUNTA(A488:L488)=0,"",IF(AND(A488&lt;&gt;"",B488&lt;&gt;"",C488="N4",OR(D488="Ngữ pháp",D488="Đọc",D488="Nghe",D488="Từ và kanji",D488="Giao tiếp"),OR(F488="Mới",F488="Ôn lại",F488="Hỗ trợ",F488="Luyện"),ISNUMBER(G488),ISNUMBER(H488),ISNUMBER(I488),ISNUMBER(J488),G488&gt;=0,H488&gt;=G488,I488&gt;=H488,I488&gt;0,J488&gt;=0,MOD(G488,1)=0,MOD(H488,1)=0,MOD(I488,1)=0,COUNTIFS($A$8:A488,A488,$D$8:D488,D488,$F$8:F488,F488)=1),"Hợp lệ","Kiểm tra/trùng"))</x:f>
      </x:c>
    </x:row>
    <x:row r="489" ht="27" customHeight="1">
      <x:c r="A489" s="83"/>
      <x:c r="B489" s="83"/>
      <x:c r="C489" s="83"/>
      <x:c r="D489" s="83"/>
      <x:c r="E489" s="83"/>
      <x:c r="F489" s="83"/>
      <x:c r="G489" s="83"/>
      <x:c r="H489" s="83"/>
      <x:c r="I489" s="83"/>
      <x:c r="J489" s="83"/>
      <x:c r="K489" s="83"/>
      <x:c r="L489" s="83"/>
      <x:c r="M489" s="75" t="str">
        <x:f>IF(COUNTA(A489:L489)=0,"",IF(AND(A489&lt;&gt;"",B489&lt;&gt;"",C489="N4",OR(D489="Ngữ pháp",D489="Đọc",D489="Nghe",D489="Từ và kanji",D489="Giao tiếp"),OR(F489="Mới",F489="Ôn lại",F489="Hỗ trợ",F489="Luyện"),ISNUMBER(G489),ISNUMBER(H489),ISNUMBER(I489),ISNUMBER(J489),G489&gt;=0,H489&gt;=G489,I489&gt;=H489,I489&gt;0,J489&gt;=0,MOD(G489,1)=0,MOD(H489,1)=0,MOD(I489,1)=0,COUNTIFS($A$8:A489,A489,$D$8:D489,D489,$F$8:F489,F489)=1),"Hợp lệ","Kiểm tra/trùng"))</x:f>
      </x:c>
    </x:row>
    <x:row r="490" ht="27" customHeight="1">
      <x:c r="A490" s="83"/>
      <x:c r="B490" s="83"/>
      <x:c r="C490" s="83"/>
      <x:c r="D490" s="83"/>
      <x:c r="E490" s="83"/>
      <x:c r="F490" s="83"/>
      <x:c r="G490" s="83"/>
      <x:c r="H490" s="83"/>
      <x:c r="I490" s="83"/>
      <x:c r="J490" s="83"/>
      <x:c r="K490" s="83"/>
      <x:c r="L490" s="83"/>
      <x:c r="M490" s="75" t="str">
        <x:f>IF(COUNTA(A490:L490)=0,"",IF(AND(A490&lt;&gt;"",B490&lt;&gt;"",C490="N4",OR(D490="Ngữ pháp",D490="Đọc",D490="Nghe",D490="Từ và kanji",D490="Giao tiếp"),OR(F490="Mới",F490="Ôn lại",F490="Hỗ trợ",F490="Luyện"),ISNUMBER(G490),ISNUMBER(H490),ISNUMBER(I490),ISNUMBER(J490),G490&gt;=0,H490&gt;=G490,I490&gt;=H490,I490&gt;0,J490&gt;=0,MOD(G490,1)=0,MOD(H490,1)=0,MOD(I490,1)=0,COUNTIFS($A$8:A490,A490,$D$8:D490,D490,$F$8:F490,F490)=1),"Hợp lệ","Kiểm tra/trùng"))</x:f>
      </x:c>
    </x:row>
    <x:row r="491" ht="27" customHeight="1">
      <x:c r="A491" s="83"/>
      <x:c r="B491" s="83"/>
      <x:c r="C491" s="83"/>
      <x:c r="D491" s="83"/>
      <x:c r="E491" s="83"/>
      <x:c r="F491" s="83"/>
      <x:c r="G491" s="83"/>
      <x:c r="H491" s="83"/>
      <x:c r="I491" s="83"/>
      <x:c r="J491" s="83"/>
      <x:c r="K491" s="83"/>
      <x:c r="L491" s="83"/>
      <x:c r="M491" s="75" t="str">
        <x:f>IF(COUNTA(A491:L491)=0,"",IF(AND(A491&lt;&gt;"",B491&lt;&gt;"",C491="N4",OR(D491="Ngữ pháp",D491="Đọc",D491="Nghe",D491="Từ và kanji",D491="Giao tiếp"),OR(F491="Mới",F491="Ôn lại",F491="Hỗ trợ",F491="Luyện"),ISNUMBER(G491),ISNUMBER(H491),ISNUMBER(I491),ISNUMBER(J491),G491&gt;=0,H491&gt;=G491,I491&gt;=H491,I491&gt;0,J491&gt;=0,MOD(G491,1)=0,MOD(H491,1)=0,MOD(I491,1)=0,COUNTIFS($A$8:A491,A491,$D$8:D491,D491,$F$8:F491,F491)=1),"Hợp lệ","Kiểm tra/trùng"))</x:f>
      </x:c>
    </x:row>
    <x:row r="492" ht="27" customHeight="1">
      <x:c r="A492" s="83"/>
      <x:c r="B492" s="83"/>
      <x:c r="C492" s="83"/>
      <x:c r="D492" s="83"/>
      <x:c r="E492" s="83"/>
      <x:c r="F492" s="83"/>
      <x:c r="G492" s="83"/>
      <x:c r="H492" s="83"/>
      <x:c r="I492" s="83"/>
      <x:c r="J492" s="83"/>
      <x:c r="K492" s="83"/>
      <x:c r="L492" s="83"/>
      <x:c r="M492" s="75" t="str">
        <x:f>IF(COUNTA(A492:L492)=0,"",IF(AND(A492&lt;&gt;"",B492&lt;&gt;"",C492="N4",OR(D492="Ngữ pháp",D492="Đọc",D492="Nghe",D492="Từ và kanji",D492="Giao tiếp"),OR(F492="Mới",F492="Ôn lại",F492="Hỗ trợ",F492="Luyện"),ISNUMBER(G492),ISNUMBER(H492),ISNUMBER(I492),ISNUMBER(J492),G492&gt;=0,H492&gt;=G492,I492&gt;=H492,I492&gt;0,J492&gt;=0,MOD(G492,1)=0,MOD(H492,1)=0,MOD(I492,1)=0,COUNTIFS($A$8:A492,A492,$D$8:D492,D492,$F$8:F492,F492)=1),"Hợp lệ","Kiểm tra/trùng"))</x:f>
      </x:c>
    </x:row>
    <x:row r="493" ht="27" customHeight="1">
      <x:c r="A493" s="83"/>
      <x:c r="B493" s="83"/>
      <x:c r="C493" s="83"/>
      <x:c r="D493" s="83"/>
      <x:c r="E493" s="83"/>
      <x:c r="F493" s="83"/>
      <x:c r="G493" s="83"/>
      <x:c r="H493" s="83"/>
      <x:c r="I493" s="83"/>
      <x:c r="J493" s="83"/>
      <x:c r="K493" s="83"/>
      <x:c r="L493" s="83"/>
      <x:c r="M493" s="75" t="str">
        <x:f>IF(COUNTA(A493:L493)=0,"",IF(AND(A493&lt;&gt;"",B493&lt;&gt;"",C493="N4",OR(D493="Ngữ pháp",D493="Đọc",D493="Nghe",D493="Từ và kanji",D493="Giao tiếp"),OR(F493="Mới",F493="Ôn lại",F493="Hỗ trợ",F493="Luyện"),ISNUMBER(G493),ISNUMBER(H493),ISNUMBER(I493),ISNUMBER(J493),G493&gt;=0,H493&gt;=G493,I493&gt;=H493,I493&gt;0,J493&gt;=0,MOD(G493,1)=0,MOD(H493,1)=0,MOD(I493,1)=0,COUNTIFS($A$8:A493,A493,$D$8:D493,D493,$F$8:F493,F493)=1),"Hợp lệ","Kiểm tra/trùng"))</x:f>
      </x:c>
    </x:row>
    <x:row r="494" ht="27" customHeight="1">
      <x:c r="A494" s="83"/>
      <x:c r="B494" s="83"/>
      <x:c r="C494" s="83"/>
      <x:c r="D494" s="83"/>
      <x:c r="E494" s="83"/>
      <x:c r="F494" s="83"/>
      <x:c r="G494" s="83"/>
      <x:c r="H494" s="83"/>
      <x:c r="I494" s="83"/>
      <x:c r="J494" s="83"/>
      <x:c r="K494" s="83"/>
      <x:c r="L494" s="83"/>
      <x:c r="M494" s="75" t="str">
        <x:f>IF(COUNTA(A494:L494)=0,"",IF(AND(A494&lt;&gt;"",B494&lt;&gt;"",C494="N4",OR(D494="Ngữ pháp",D494="Đọc",D494="Nghe",D494="Từ và kanji",D494="Giao tiếp"),OR(F494="Mới",F494="Ôn lại",F494="Hỗ trợ",F494="Luyện"),ISNUMBER(G494),ISNUMBER(H494),ISNUMBER(I494),ISNUMBER(J494),G494&gt;=0,H494&gt;=G494,I494&gt;=H494,I494&gt;0,J494&gt;=0,MOD(G494,1)=0,MOD(H494,1)=0,MOD(I494,1)=0,COUNTIFS($A$8:A494,A494,$D$8:D494,D494,$F$8:F494,F494)=1),"Hợp lệ","Kiểm tra/trùng"))</x:f>
      </x:c>
    </x:row>
    <x:row r="495" ht="27" customHeight="1">
      <x:c r="A495" s="83"/>
      <x:c r="B495" s="83"/>
      <x:c r="C495" s="83"/>
      <x:c r="D495" s="83"/>
      <x:c r="E495" s="83"/>
      <x:c r="F495" s="83"/>
      <x:c r="G495" s="83"/>
      <x:c r="H495" s="83"/>
      <x:c r="I495" s="83"/>
      <x:c r="J495" s="83"/>
      <x:c r="K495" s="83"/>
      <x:c r="L495" s="83"/>
      <x:c r="M495" s="75" t="str">
        <x:f>IF(COUNTA(A495:L495)=0,"",IF(AND(A495&lt;&gt;"",B495&lt;&gt;"",C495="N4",OR(D495="Ngữ pháp",D495="Đọc",D495="Nghe",D495="Từ và kanji",D495="Giao tiếp"),OR(F495="Mới",F495="Ôn lại",F495="Hỗ trợ",F495="Luyện"),ISNUMBER(G495),ISNUMBER(H495),ISNUMBER(I495),ISNUMBER(J495),G495&gt;=0,H495&gt;=G495,I495&gt;=H495,I495&gt;0,J495&gt;=0,MOD(G495,1)=0,MOD(H495,1)=0,MOD(I495,1)=0,COUNTIFS($A$8:A495,A495,$D$8:D495,D495,$F$8:F495,F495)=1),"Hợp lệ","Kiểm tra/trùng"))</x:f>
      </x:c>
    </x:row>
    <x:row r="496" ht="27" customHeight="1">
      <x:c r="A496" s="83"/>
      <x:c r="B496" s="83"/>
      <x:c r="C496" s="83"/>
      <x:c r="D496" s="83"/>
      <x:c r="E496" s="83"/>
      <x:c r="F496" s="83"/>
      <x:c r="G496" s="83"/>
      <x:c r="H496" s="83"/>
      <x:c r="I496" s="83"/>
      <x:c r="J496" s="83"/>
      <x:c r="K496" s="83"/>
      <x:c r="L496" s="83"/>
      <x:c r="M496" s="75" t="str">
        <x:f>IF(COUNTA(A496:L496)=0,"",IF(AND(A496&lt;&gt;"",B496&lt;&gt;"",C496="N4",OR(D496="Ngữ pháp",D496="Đọc",D496="Nghe",D496="Từ và kanji",D496="Giao tiếp"),OR(F496="Mới",F496="Ôn lại",F496="Hỗ trợ",F496="Luyện"),ISNUMBER(G496),ISNUMBER(H496),ISNUMBER(I496),ISNUMBER(J496),G496&gt;=0,H496&gt;=G496,I496&gt;=H496,I496&gt;0,J496&gt;=0,MOD(G496,1)=0,MOD(H496,1)=0,MOD(I496,1)=0,COUNTIFS($A$8:A496,A496,$D$8:D496,D496,$F$8:F496,F496)=1),"Hợp lệ","Kiểm tra/trùng"))</x:f>
      </x:c>
    </x:row>
    <x:row r="497" ht="27" customHeight="1">
      <x:c r="A497" s="83"/>
      <x:c r="B497" s="83"/>
      <x:c r="C497" s="83"/>
      <x:c r="D497" s="83"/>
      <x:c r="E497" s="83"/>
      <x:c r="F497" s="83"/>
      <x:c r="G497" s="83"/>
      <x:c r="H497" s="83"/>
      <x:c r="I497" s="83"/>
      <x:c r="J497" s="83"/>
      <x:c r="K497" s="83"/>
      <x:c r="L497" s="83"/>
      <x:c r="M497" s="75" t="str">
        <x:f>IF(COUNTA(A497:L497)=0,"",IF(AND(A497&lt;&gt;"",B497&lt;&gt;"",C497="N4",OR(D497="Ngữ pháp",D497="Đọc",D497="Nghe",D497="Từ và kanji",D497="Giao tiếp"),OR(F497="Mới",F497="Ôn lại",F497="Hỗ trợ",F497="Luyện"),ISNUMBER(G497),ISNUMBER(H497),ISNUMBER(I497),ISNUMBER(J497),G497&gt;=0,H497&gt;=G497,I497&gt;=H497,I497&gt;0,J497&gt;=0,MOD(G497,1)=0,MOD(H497,1)=0,MOD(I497,1)=0,COUNTIFS($A$8:A497,A497,$D$8:D497,D497,$F$8:F497,F497)=1),"Hợp lệ","Kiểm tra/trùng"))</x:f>
      </x:c>
    </x:row>
    <x:row r="498" ht="27" customHeight="1">
      <x:c r="A498" s="83"/>
      <x:c r="B498" s="83"/>
      <x:c r="C498" s="83"/>
      <x:c r="D498" s="83"/>
      <x:c r="E498" s="83"/>
      <x:c r="F498" s="83"/>
      <x:c r="G498" s="83"/>
      <x:c r="H498" s="83"/>
      <x:c r="I498" s="83"/>
      <x:c r="J498" s="83"/>
      <x:c r="K498" s="83"/>
      <x:c r="L498" s="83"/>
      <x:c r="M498" s="75" t="str">
        <x:f>IF(COUNTA(A498:L498)=0,"",IF(AND(A498&lt;&gt;"",B498&lt;&gt;"",C498="N4",OR(D498="Ngữ pháp",D498="Đọc",D498="Nghe",D498="Từ và kanji",D498="Giao tiếp"),OR(F498="Mới",F498="Ôn lại",F498="Hỗ trợ",F498="Luyện"),ISNUMBER(G498),ISNUMBER(H498),ISNUMBER(I498),ISNUMBER(J498),G498&gt;=0,H498&gt;=G498,I498&gt;=H498,I498&gt;0,J498&gt;=0,MOD(G498,1)=0,MOD(H498,1)=0,MOD(I498,1)=0,COUNTIFS($A$8:A498,A498,$D$8:D498,D498,$F$8:F498,F498)=1),"Hợp lệ","Kiểm tra/trùng"))</x:f>
      </x:c>
    </x:row>
    <x:row r="499" ht="27" customHeight="1">
      <x:c r="A499" s="83"/>
      <x:c r="B499" s="83"/>
      <x:c r="C499" s="83"/>
      <x:c r="D499" s="83"/>
      <x:c r="E499" s="83"/>
      <x:c r="F499" s="83"/>
      <x:c r="G499" s="83"/>
      <x:c r="H499" s="83"/>
      <x:c r="I499" s="83"/>
      <x:c r="J499" s="83"/>
      <x:c r="K499" s="83"/>
      <x:c r="L499" s="83"/>
      <x:c r="M499" s="75" t="str">
        <x:f>IF(COUNTA(A499:L499)=0,"",IF(AND(A499&lt;&gt;"",B499&lt;&gt;"",C499="N4",OR(D499="Ngữ pháp",D499="Đọc",D499="Nghe",D499="Từ và kanji",D499="Giao tiếp"),OR(F499="Mới",F499="Ôn lại",F499="Hỗ trợ",F499="Luyện"),ISNUMBER(G499),ISNUMBER(H499),ISNUMBER(I499),ISNUMBER(J499),G499&gt;=0,H499&gt;=G499,I499&gt;=H499,I499&gt;0,J499&gt;=0,MOD(G499,1)=0,MOD(H499,1)=0,MOD(I499,1)=0,COUNTIFS($A$8:A499,A499,$D$8:D499,D499,$F$8:F499,F499)=1),"Hợp lệ","Kiểm tra/trùng"))</x:f>
      </x:c>
    </x:row>
    <x:row r="500" ht="27" customHeight="1">
      <x:c r="A500" s="83"/>
      <x:c r="B500" s="83"/>
      <x:c r="C500" s="83"/>
      <x:c r="D500" s="83"/>
      <x:c r="E500" s="83"/>
      <x:c r="F500" s="83"/>
      <x:c r="G500" s="83"/>
      <x:c r="H500" s="83"/>
      <x:c r="I500" s="83"/>
      <x:c r="J500" s="83"/>
      <x:c r="K500" s="83"/>
      <x:c r="L500" s="83"/>
      <x:c r="M500" s="75" t="str">
        <x:f>IF(COUNTA(A500:L500)=0,"",IF(AND(A500&lt;&gt;"",B500&lt;&gt;"",C500="N4",OR(D500="Ngữ pháp",D500="Đọc",D500="Nghe",D500="Từ và kanji",D500="Giao tiếp"),OR(F500="Mới",F500="Ôn lại",F500="Hỗ trợ",F500="Luyện"),ISNUMBER(G500),ISNUMBER(H500),ISNUMBER(I500),ISNUMBER(J500),G500&gt;=0,H500&gt;=G500,I500&gt;=H500,I500&gt;0,J500&gt;=0,MOD(G500,1)=0,MOD(H500,1)=0,MOD(I500,1)=0,COUNTIFS($A$8:A500,A500,$D$8:D500,D500,$F$8:F500,F500)=1),"Hợp lệ","Kiểm tra/trùng"))</x:f>
      </x:c>
    </x:row>
    <x:row r="501" ht="27" customHeight="1">
      <x:c r="A501" s="83"/>
      <x:c r="B501" s="83"/>
      <x:c r="C501" s="83"/>
      <x:c r="D501" s="83"/>
      <x:c r="E501" s="83"/>
      <x:c r="F501" s="83"/>
      <x:c r="G501" s="83"/>
      <x:c r="H501" s="83"/>
      <x:c r="I501" s="83"/>
      <x:c r="J501" s="83"/>
      <x:c r="K501" s="83"/>
      <x:c r="L501" s="83"/>
      <x:c r="M501" s="75" t="str">
        <x:f>IF(COUNTA(A501:L501)=0,"",IF(AND(A501&lt;&gt;"",B501&lt;&gt;"",C501="N4",OR(D501="Ngữ pháp",D501="Đọc",D501="Nghe",D501="Từ và kanji",D501="Giao tiếp"),OR(F501="Mới",F501="Ôn lại",F501="Hỗ trợ",F501="Luyện"),ISNUMBER(G501),ISNUMBER(H501),ISNUMBER(I501),ISNUMBER(J501),G501&gt;=0,H501&gt;=G501,I501&gt;=H501,I501&gt;0,J501&gt;=0,MOD(G501,1)=0,MOD(H501,1)=0,MOD(I501,1)=0,COUNTIFS($A$8:A501,A501,$D$8:D501,D501,$F$8:F501,F501)=1),"Hợp lệ","Kiểm tra/trùng"))</x:f>
      </x:c>
    </x:row>
    <x:row r="502" ht="27" customHeight="1">
      <x:c r="A502" s="83"/>
      <x:c r="B502" s="83"/>
      <x:c r="C502" s="83"/>
      <x:c r="D502" s="83"/>
      <x:c r="E502" s="83"/>
      <x:c r="F502" s="83"/>
      <x:c r="G502" s="83"/>
      <x:c r="H502" s="83"/>
      <x:c r="I502" s="83"/>
      <x:c r="J502" s="83"/>
      <x:c r="K502" s="83"/>
      <x:c r="L502" s="83"/>
      <x:c r="M502" s="75" t="str">
        <x:f>IF(COUNTA(A502:L502)=0,"",IF(AND(A502&lt;&gt;"",B502&lt;&gt;"",C502="N4",OR(D502="Ngữ pháp",D502="Đọc",D502="Nghe",D502="Từ và kanji",D502="Giao tiếp"),OR(F502="Mới",F502="Ôn lại",F502="Hỗ trợ",F502="Luyện"),ISNUMBER(G502),ISNUMBER(H502),ISNUMBER(I502),ISNUMBER(J502),G502&gt;=0,H502&gt;=G502,I502&gt;=H502,I502&gt;0,J502&gt;=0,MOD(G502,1)=0,MOD(H502,1)=0,MOD(I502,1)=0,COUNTIFS($A$8:A502,A502,$D$8:D502,D502,$F$8:F502,F502)=1),"Hợp lệ","Kiểm tra/trùng"))</x:f>
      </x:c>
    </x:row>
    <x:row r="503" ht="27" customHeight="1">
      <x:c r="A503" s="83"/>
      <x:c r="B503" s="83"/>
      <x:c r="C503" s="83"/>
      <x:c r="D503" s="83"/>
      <x:c r="E503" s="83"/>
      <x:c r="F503" s="83"/>
      <x:c r="G503" s="83"/>
      <x:c r="H503" s="83"/>
      <x:c r="I503" s="83"/>
      <x:c r="J503" s="83"/>
      <x:c r="K503" s="83"/>
      <x:c r="L503" s="83"/>
      <x:c r="M503" s="75" t="str">
        <x:f>IF(COUNTA(A503:L503)=0,"",IF(AND(A503&lt;&gt;"",B503&lt;&gt;"",C503="N4",OR(D503="Ngữ pháp",D503="Đọc",D503="Nghe",D503="Từ và kanji",D503="Giao tiếp"),OR(F503="Mới",F503="Ôn lại",F503="Hỗ trợ",F503="Luyện"),ISNUMBER(G503),ISNUMBER(H503),ISNUMBER(I503),ISNUMBER(J503),G503&gt;=0,H503&gt;=G503,I503&gt;=H503,I503&gt;0,J503&gt;=0,MOD(G503,1)=0,MOD(H503,1)=0,MOD(I503,1)=0,COUNTIFS($A$8:A503,A503,$D$8:D503,D503,$F$8:F503,F503)=1),"Hợp lệ","Kiểm tra/trùng"))</x:f>
      </x:c>
    </x:row>
    <x:row r="504" ht="27" customHeight="1">
      <x:c r="A504" s="83"/>
      <x:c r="B504" s="83"/>
      <x:c r="C504" s="83"/>
      <x:c r="D504" s="83"/>
      <x:c r="E504" s="83"/>
      <x:c r="F504" s="83"/>
      <x:c r="G504" s="83"/>
      <x:c r="H504" s="83"/>
      <x:c r="I504" s="83"/>
      <x:c r="J504" s="83"/>
      <x:c r="K504" s="83"/>
      <x:c r="L504" s="83"/>
      <x:c r="M504" s="75" t="str">
        <x:f>IF(COUNTA(A504:L504)=0,"",IF(AND(A504&lt;&gt;"",B504&lt;&gt;"",C504="N4",OR(D504="Ngữ pháp",D504="Đọc",D504="Nghe",D504="Từ và kanji",D504="Giao tiếp"),OR(F504="Mới",F504="Ôn lại",F504="Hỗ trợ",F504="Luyện"),ISNUMBER(G504),ISNUMBER(H504),ISNUMBER(I504),ISNUMBER(J504),G504&gt;=0,H504&gt;=G504,I504&gt;=H504,I504&gt;0,J504&gt;=0,MOD(G504,1)=0,MOD(H504,1)=0,MOD(I504,1)=0,COUNTIFS($A$8:A504,A504,$D$8:D504,D504,$F$8:F504,F504)=1),"Hợp lệ","Kiểm tra/trùng"))</x:f>
      </x:c>
    </x:row>
    <x:row r="505" ht="27" customHeight="1">
      <x:c r="A505" s="83"/>
      <x:c r="B505" s="83"/>
      <x:c r="C505" s="83"/>
      <x:c r="D505" s="83"/>
      <x:c r="E505" s="83"/>
      <x:c r="F505" s="83"/>
      <x:c r="G505" s="83"/>
      <x:c r="H505" s="83"/>
      <x:c r="I505" s="83"/>
      <x:c r="J505" s="83"/>
      <x:c r="K505" s="83"/>
      <x:c r="L505" s="83"/>
      <x:c r="M505" s="75" t="str">
        <x:f>IF(COUNTA(A505:L505)=0,"",IF(AND(A505&lt;&gt;"",B505&lt;&gt;"",C505="N4",OR(D505="Ngữ pháp",D505="Đọc",D505="Nghe",D505="Từ và kanji",D505="Giao tiếp"),OR(F505="Mới",F505="Ôn lại",F505="Hỗ trợ",F505="Luyện"),ISNUMBER(G505),ISNUMBER(H505),ISNUMBER(I505),ISNUMBER(J505),G505&gt;=0,H505&gt;=G505,I505&gt;=H505,I505&gt;0,J505&gt;=0,MOD(G505,1)=0,MOD(H505,1)=0,MOD(I505,1)=0,COUNTIFS($A$8:A505,A505,$D$8:D505,D505,$F$8:F505,F505)=1),"Hợp lệ","Kiểm tra/trùng"))</x:f>
      </x:c>
    </x:row>
    <x:row r="506" ht="27" customHeight="1">
      <x:c r="A506" s="83"/>
      <x:c r="B506" s="83"/>
      <x:c r="C506" s="83"/>
      <x:c r="D506" s="83"/>
      <x:c r="E506" s="83"/>
      <x:c r="F506" s="83"/>
      <x:c r="G506" s="83"/>
      <x:c r="H506" s="83"/>
      <x:c r="I506" s="83"/>
      <x:c r="J506" s="83"/>
      <x:c r="K506" s="83"/>
      <x:c r="L506" s="83"/>
      <x:c r="M506" s="75" t="str">
        <x:f>IF(COUNTA(A506:L506)=0,"",IF(AND(A506&lt;&gt;"",B506&lt;&gt;"",C506="N4",OR(D506="Ngữ pháp",D506="Đọc",D506="Nghe",D506="Từ và kanji",D506="Giao tiếp"),OR(F506="Mới",F506="Ôn lại",F506="Hỗ trợ",F506="Luyện"),ISNUMBER(G506),ISNUMBER(H506),ISNUMBER(I506),ISNUMBER(J506),G506&gt;=0,H506&gt;=G506,I506&gt;=H506,I506&gt;0,J506&gt;=0,MOD(G506,1)=0,MOD(H506,1)=0,MOD(I506,1)=0,COUNTIFS($A$8:A506,A506,$D$8:D506,D506,$F$8:F506,F506)=1),"Hợp lệ","Kiểm tra/trùng"))</x:f>
      </x:c>
    </x:row>
    <x:row r="507" ht="27" customHeight="1">
      <x:c r="A507" s="83"/>
      <x:c r="B507" s="83"/>
      <x:c r="C507" s="83"/>
      <x:c r="D507" s="83"/>
      <x:c r="E507" s="83"/>
      <x:c r="F507" s="83"/>
      <x:c r="G507" s="83"/>
      <x:c r="H507" s="83"/>
      <x:c r="I507" s="83"/>
      <x:c r="J507" s="83"/>
      <x:c r="K507" s="83"/>
      <x:c r="L507" s="83"/>
      <x:c r="M507" s="75" t="str">
        <x:f>IF(COUNTA(A507:L507)=0,"",IF(AND(A507&lt;&gt;"",B507&lt;&gt;"",C507="N4",OR(D507="Ngữ pháp",D507="Đọc",D507="Nghe",D507="Từ và kanji",D507="Giao tiếp"),OR(F507="Mới",F507="Ôn lại",F507="Hỗ trợ",F507="Luyện"),ISNUMBER(G507),ISNUMBER(H507),ISNUMBER(I507),ISNUMBER(J507),G507&gt;=0,H507&gt;=G507,I507&gt;=H507,I507&gt;0,J507&gt;=0,MOD(G507,1)=0,MOD(H507,1)=0,MOD(I507,1)=0,COUNTIFS($A$8:A507,A507,$D$8:D507,D507,$F$8:F507,F507)=1),"Hợp lệ","Kiểm tra/trùng"))</x:f>
      </x:c>
    </x:row>
    <x:row r="508" ht="27" customHeight="1">
      <x:c r="A508" s="75"/>
      <x:c r="B508" s="75"/>
      <x:c r="C508" s="75"/>
      <x:c r="D508" s="75"/>
      <x:c r="E508" s="75"/>
      <x:c r="F508" s="75"/>
      <x:c r="G508" s="75"/>
      <x:c r="H508" s="75"/>
      <x:c r="I508" s="75"/>
      <x:c r="J508" s="75"/>
      <x:c r="K508" s="75"/>
      <x:c r="L508" s="75"/>
      <x:c r="M508" s="75"/>
    </x:row>
  </x:sheetData>
  <x:mergeCells>
    <x:mergeCell ref="A1:F1"/>
    <x:mergeCell ref="A2:B2"/>
    <x:mergeCell ref="A3:M3"/>
    <x:mergeCell ref="A4:M4"/>
    <x:mergeCell ref="A5:M5"/>
    <x:mergeCell ref="A6:M6"/>
  </x:mergeCells>
  <x:pageMargins left="0.7" right="0.7" top="0.75" bottom="0.75" header="0.3" footer="0.3"/>
</x:worksheet>
</file>

<file path=xl/worksheets/sheet1.xml><?xml version="1.0" encoding="utf-8"?>
<x:worksheet xmlns:x="http://schemas.openxmlformats.org/spreadsheetml/2006/main">
  <x:sheetPr>
    <x:tabColor rgb="FF314C62"/>
  </x:sheetPr>
  <x:sheetViews>
    <x:sheetView showGridLines="0" workbookViewId="0" tabSelecte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9" hidden="0" customWidth="1"/>
    <x:col min="4" max="4" width="16" hidden="0" customWidth="1"/>
    <x:col min="5" max="5" width="12" hidden="0" customWidth="1"/>
    <x:col min="6" max="6" width="11" hidden="0" customWidth="1"/>
    <x:col min="7" max="7" width="11" hidden="0" customWidth="1"/>
    <x:col min="8" max="8" width="32" hidden="0" customWidth="1"/>
    <x:col min="9" max="9" width="13" hidden="0" customWidth="1"/>
    <x:col min="10" max="10" width="2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10" t="str">
        <x:v>Nhật ký tiếng Nhật từ 15 tháng 10 đến 5 tháng 12 năm 2026</x:v>
      </x:c>
      <x:c r="B2" s="10"/>
      <x:c r="C2" s="10"/>
      <x:c r="D2" s="10"/>
      <x:c r="E2" s="10"/>
      <x:c r="F2" s="10"/>
      <x:c r="G2" s="10"/>
      <x:c r="H2" s="10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 ht="28" customHeight="1">
      <x:c r="A4" s="2" t="str">
        <x:v>Ngày có ghi</x:v>
      </x:c>
      <x:c r="B4" s="14" t="n">
        <x:f>COUNT(E8:E59)</x:f>
        <x:v>0</x:v>
      </x:c>
      <x:c r="C4" s="2" t="str">
        <x:v>Phút học</x:v>
      </x:c>
      <x:c r="D4" s="14" t="str">
        <x:f>IF(COUNT(E8:E59)=0,"",SUM(E8:E59))</x:f>
      </x:c>
      <x:c r="E4" s="2" t="str">
        <x:v>Phút nghe</x:v>
      </x:c>
      <x:c r="F4" s="14" t="str">
        <x:f>IF(COUNT(F8:F59)=0,"",SUM(F8:F59))</x:f>
      </x:c>
      <x:c r="G4" s="2" t="str">
        <x:v>Phút nói</x:v>
      </x:c>
      <x:c r="H4" s="14" t="str">
        <x:f>IF(COUNT(G8:G59)=0,"",SUM(G8:G59))</x:f>
      </x:c>
    </x:row>
    <x:row r="5" ht="22" customHeight="1">
      <x:c r="A5" s="12" t="str">
        <x:v>Ô vàng để nhập. Chưa biết để trống; nghỉ thật nhập 0 phút. Ngủ là tổng 24 giờ, gồm ngủ bù.</x:v>
      </x:c>
      <x:c r="B5" s="12"/>
      <x:c r="C5" s="12"/>
      <x:c r="D5" s="12"/>
      <x:c r="E5" s="12"/>
      <x:c r="F5" s="12"/>
      <x:c r="G5" s="12"/>
      <x:c r="H5" s="12"/>
    </x:row>
    <x:row r="6" ht="22" customHeight="1">
      <x:c r="A6" s="12" t="str">
        <x:v>Nhập chế độ và tổng phút; thêm nghe/nói nếu biết. Mã lỗi ở I. Cột J trở đi tự kiểm tra.</x:v>
      </x:c>
      <x:c r="B6" s="12"/>
      <x:c r="C6" s="12"/>
      <x:c r="D6" s="12"/>
      <x:c r="E6" s="12"/>
      <x:c r="F6" s="12"/>
      <x:c r="G6" s="12"/>
      <x:c r="H6" s="12"/>
    </x:row>
    <x:row r="7" ht="34" customHeight="1">
      <x:c r="A7" s="7" t="str">
        <x:v>Ngày</x:v>
      </x:c>
      <x:c r="B7" s="8" t="str">
        <x:v>Ngủ 24h
(giờ)</x:v>
      </x:c>
      <x:c r="C7" s="8" t="str">
        <x:v>Mệt
1 đến 5</x:v>
      </x:c>
      <x:c r="D7" s="8" t="str">
        <x:v>Chế độ</x:v>
      </x:c>
      <x:c r="E7" s="8" t="str">
        <x:v>Học
(phút)</x:v>
      </x:c>
      <x:c r="F7" s="8" t="str">
        <x:v>Nghe
(phút)</x:v>
      </x:c>
      <x:c r="G7" s="8" t="str">
        <x:v>Nói
(phút)</x:v>
      </x:c>
      <x:c r="H7" s="9" t="str">
        <x:v>Một lỗi hoặc việc tiếp theo</x:v>
      </x:c>
      <x:c r="I7" s="36" t="str">
        <x:v>Mã lỗi chính</x:v>
      </x:c>
      <x:c r="J7" s="37" t="str">
        <x:v>Kiểm tra dòng</x:v>
      </x:c>
      <x:c r="K7" s="37" t="str">
        <x:v>Có giờ ngủ</x:v>
      </x:c>
      <x:c r="L7" s="37" t="str">
        <x:v>Có mức mệt</x:v>
      </x:c>
      <x:c r="M7" s="37" t="str">
        <x:v>Có phút nghe</x:v>
      </x:c>
      <x:c r="N7" s="37" t="str">
        <x:v>Có phút nói</x:v>
      </x:c>
      <x:c r="O7" s="38" t="str">
        <x:v>Đã ghi phút học</x:v>
      </x:c>
    </x:row>
    <x:row r="8" ht="25" customHeight="1">
      <x:c r="A8" s="22" t="n">
        <x:v>46310</x:v>
      </x:c>
      <x:c r="B8" s="23"/>
      <x:c r="C8" s="24"/>
      <x:c r="D8" s="26"/>
      <x:c r="E8" s="24"/>
      <x:c r="F8" s="24"/>
      <x:c r="G8" s="24"/>
      <x:c r="H8" s="21"/>
      <x:c r="I8" s="39"/>
      <x:c r="J8" s="40" t="str">
        <x:f>IF(AND(COUNTA(B8:I8)=0),"",IF(OR(AND(NOT(ISBLANK(B8)),OR(NOT(ISNUMBER(B8)),B8&lt;0,B8&gt;24)),AND(NOT(ISBLANK(C8)),IF(ISNUMBER(C8),OR(C8&lt;1,C8&gt;5,MOD(C8,1)&lt;&gt;0),TRUE))),"Lỗi ngủ/mệt",IF(NOT(ISNUMBER(E8)),"Thiếu tổng phút",IF(OR(E8&lt;0,OR(AND(NOT(ISBLANK(F8)),OR(NOT(ISNUMBER(F8)),F8&lt;0)),AND(NOT(ISBLANK(G8)),OR(NOT(ISNUMBER(G8)),G8&lt;0)))),"Lỗi phút",IF(SUM(F8:G8)&gt;E8,"Nghe+nói vượt tổng",IF(AND(D8&lt;&gt;"Nghỉ",D8&lt;&gt;"Kiệt sức",D8&lt;&gt;"Bình thường",D8&lt;&gt;"Đủ sức"),"Thiếu chế độ",IF(AND(LEN(I8)&gt;0,COUNTIF($I$63:$I$69,I8)=0),"Lỗi mã","Hợp lệ")))))))</x:f>
      </x:c>
      <x:c r="K8" s="40" t="n">
        <x:f>IF(AND(ISNUMBER(B8),B8&gt;=0,B8&lt;=24),1,0)</x:f>
        <x:v>0</x:v>
      </x:c>
      <x:c r="L8" s="40" t="n">
        <x:f>IF(ISNUMBER(C8),IF(AND(C8&gt;=1,C8&lt;=5,MOD(C8,1)=0),1,0),0)</x:f>
        <x:v>0</x:v>
      </x:c>
      <x:c r="M8" s="40" t="n">
        <x:f>IF(AND(J8="Hợp lệ",ISNUMBER(F8)),1,0)</x:f>
        <x:v>0</x:v>
      </x:c>
      <x:c r="N8" s="40" t="n">
        <x:f>IF(AND(J8="Hợp lệ",ISNUMBER(G8)),1,0)</x:f>
        <x:v>0</x:v>
      </x:c>
      <x:c r="O8" s="40" t="n">
        <x:f>IF(J8="Hợp lệ",1,0)</x:f>
        <x:v>0</x:v>
      </x:c>
    </x:row>
    <x:row r="9" ht="25" customHeight="1">
      <x:c r="A9" s="22" t="n">
        <x:v>46311</x:v>
      </x:c>
      <x:c r="B9" s="23"/>
      <x:c r="C9" s="24"/>
      <x:c r="D9" s="26"/>
      <x:c r="E9" s="24"/>
      <x:c r="F9" s="24"/>
      <x:c r="G9" s="24"/>
      <x:c r="H9" s="21"/>
      <x:c r="I9" s="39"/>
      <x:c r="J9" s="40" t="str">
        <x:f>IF(AND(COUNTA(B9:I9)=0),"",IF(OR(AND(NOT(ISBLANK(B9)),OR(NOT(ISNUMBER(B9)),B9&lt;0,B9&gt;24)),AND(NOT(ISBLANK(C9)),IF(ISNUMBER(C9),OR(C9&lt;1,C9&gt;5,MOD(C9,1)&lt;&gt;0),TRUE))),"Lỗi ngủ/mệt",IF(NOT(ISNUMBER(E9)),"Thiếu tổng phút",IF(OR(E9&lt;0,OR(AND(NOT(ISBLANK(F9)),OR(NOT(ISNUMBER(F9)),F9&lt;0)),AND(NOT(ISBLANK(G9)),OR(NOT(ISNUMBER(G9)),G9&lt;0)))),"Lỗi phút",IF(SUM(F9:G9)&gt;E9,"Nghe+nói vượt tổng",IF(AND(D9&lt;&gt;"Nghỉ",D9&lt;&gt;"Kiệt sức",D9&lt;&gt;"Bình thường",D9&lt;&gt;"Đủ sức"),"Thiếu chế độ",IF(AND(LEN(I9)&gt;0,COUNTIF($I$63:$I$69,I9)=0),"Lỗi mã","Hợp lệ")))))))</x:f>
      </x:c>
      <x:c r="K9" s="40" t="n">
        <x:f>IF(AND(ISNUMBER(B9),B9&gt;=0,B9&lt;=24),1,0)</x:f>
        <x:v>0</x:v>
      </x:c>
      <x:c r="L9" s="40" t="n">
        <x:f>IF(ISNUMBER(C9),IF(AND(C9&gt;=1,C9&lt;=5,MOD(C9,1)=0),1,0),0)</x:f>
        <x:v>0</x:v>
      </x:c>
      <x:c r="M9" s="40" t="n">
        <x:f>IF(AND(J9="Hợp lệ",ISNUMBER(F9)),1,0)</x:f>
        <x:v>0</x:v>
      </x:c>
      <x:c r="N9" s="40" t="n">
        <x:f>IF(AND(J9="Hợp lệ",ISNUMBER(G9)),1,0)</x:f>
        <x:v>0</x:v>
      </x:c>
      <x:c r="O9" s="40" t="n">
        <x:f>IF(J9="Hợp lệ",1,0)</x:f>
        <x:v>0</x:v>
      </x:c>
    </x:row>
    <x:row r="10" ht="25" customHeight="1">
      <x:c r="A10" s="22" t="n">
        <x:v>46312</x:v>
      </x:c>
      <x:c r="B10" s="23"/>
      <x:c r="C10" s="24"/>
      <x:c r="D10" s="26"/>
      <x:c r="E10" s="24"/>
      <x:c r="F10" s="24"/>
      <x:c r="G10" s="24"/>
      <x:c r="H10" s="21"/>
      <x:c r="I10" s="39"/>
      <x:c r="J10" s="40" t="str">
        <x:f>IF(AND(COUNTA(B10:I10)=0),"",IF(OR(AND(NOT(ISBLANK(B10)),OR(NOT(ISNUMBER(B10)),B10&lt;0,B10&gt;24)),AND(NOT(ISBLANK(C10)),IF(ISNUMBER(C10),OR(C10&lt;1,C10&gt;5,MOD(C10,1)&lt;&gt;0),TRUE))),"Lỗi ngủ/mệt",IF(NOT(ISNUMBER(E10)),"Thiếu tổng phút",IF(OR(E10&lt;0,OR(AND(NOT(ISBLANK(F10)),OR(NOT(ISNUMBER(F10)),F10&lt;0)),AND(NOT(ISBLANK(G10)),OR(NOT(ISNUMBER(G10)),G10&lt;0)))),"Lỗi phút",IF(SUM(F10:G10)&gt;E10,"Nghe+nói vượt tổng",IF(AND(D10&lt;&gt;"Nghỉ",D10&lt;&gt;"Kiệt sức",D10&lt;&gt;"Bình thường",D10&lt;&gt;"Đủ sức"),"Thiếu chế độ",IF(AND(LEN(I10)&gt;0,COUNTIF($I$63:$I$69,I10)=0),"Lỗi mã","Hợp lệ")))))))</x:f>
      </x:c>
      <x:c r="K10" s="40" t="n">
        <x:f>IF(AND(ISNUMBER(B10),B10&gt;=0,B10&lt;=24),1,0)</x:f>
        <x:v>0</x:v>
      </x:c>
      <x:c r="L10" s="40" t="n">
        <x:f>IF(ISNUMBER(C10),IF(AND(C10&gt;=1,C10&lt;=5,MOD(C10,1)=0),1,0),0)</x:f>
        <x:v>0</x:v>
      </x:c>
      <x:c r="M10" s="40" t="n">
        <x:f>IF(AND(J10="Hợp lệ",ISNUMBER(F10)),1,0)</x:f>
        <x:v>0</x:v>
      </x:c>
      <x:c r="N10" s="40" t="n">
        <x:f>IF(AND(J10="Hợp lệ",ISNUMBER(G10)),1,0)</x:f>
        <x:v>0</x:v>
      </x:c>
      <x:c r="O10" s="40" t="n">
        <x:f>IF(J10="Hợp lệ",1,0)</x:f>
        <x:v>0</x:v>
      </x:c>
    </x:row>
    <x:row r="11" ht="25" customHeight="1">
      <x:c r="A11" s="22" t="n">
        <x:v>46313</x:v>
      </x:c>
      <x:c r="B11" s="23"/>
      <x:c r="C11" s="24"/>
      <x:c r="D11" s="26"/>
      <x:c r="E11" s="24"/>
      <x:c r="F11" s="24"/>
      <x:c r="G11" s="24"/>
      <x:c r="H11" s="21"/>
      <x:c r="I11" s="39"/>
      <x:c r="J11" s="40" t="str">
        <x:f>IF(AND(COUNTA(B11:I11)=0),"",IF(OR(AND(NOT(ISBLANK(B11)),OR(NOT(ISNUMBER(B11)),B11&lt;0,B11&gt;24)),AND(NOT(ISBLANK(C11)),IF(ISNUMBER(C11),OR(C11&lt;1,C11&gt;5,MOD(C11,1)&lt;&gt;0),TRUE))),"Lỗi ngủ/mệt",IF(NOT(ISNUMBER(E11)),"Thiếu tổng phút",IF(OR(E11&lt;0,OR(AND(NOT(ISBLANK(F11)),OR(NOT(ISNUMBER(F11)),F11&lt;0)),AND(NOT(ISBLANK(G11)),OR(NOT(ISNUMBER(G11)),G11&lt;0)))),"Lỗi phút",IF(SUM(F11:G11)&gt;E11,"Nghe+nói vượt tổng",IF(AND(D11&lt;&gt;"Nghỉ",D11&lt;&gt;"Kiệt sức",D11&lt;&gt;"Bình thường",D11&lt;&gt;"Đủ sức"),"Thiếu chế độ",IF(AND(LEN(I11)&gt;0,COUNTIF($I$63:$I$69,I11)=0),"Lỗi mã","Hợp lệ")))))))</x:f>
      </x:c>
      <x:c r="K11" s="40" t="n">
        <x:f>IF(AND(ISNUMBER(B11),B11&gt;=0,B11&lt;=24),1,0)</x:f>
        <x:v>0</x:v>
      </x:c>
      <x:c r="L11" s="40" t="n">
        <x:f>IF(ISNUMBER(C11),IF(AND(C11&gt;=1,C11&lt;=5,MOD(C11,1)=0),1,0),0)</x:f>
        <x:v>0</x:v>
      </x:c>
      <x:c r="M11" s="40" t="n">
        <x:f>IF(AND(J11="Hợp lệ",ISNUMBER(F11)),1,0)</x:f>
        <x:v>0</x:v>
      </x:c>
      <x:c r="N11" s="40" t="n">
        <x:f>IF(AND(J11="Hợp lệ",ISNUMBER(G11)),1,0)</x:f>
        <x:v>0</x:v>
      </x:c>
      <x:c r="O11" s="40" t="n">
        <x:f>IF(J11="Hợp lệ",1,0)</x:f>
        <x:v>0</x:v>
      </x:c>
    </x:row>
    <x:row r="12" ht="25" customHeight="1">
      <x:c r="A12" s="22" t="n">
        <x:v>46314</x:v>
      </x:c>
      <x:c r="B12" s="23"/>
      <x:c r="C12" s="24"/>
      <x:c r="D12" s="26"/>
      <x:c r="E12" s="24"/>
      <x:c r="F12" s="24"/>
      <x:c r="G12" s="24"/>
      <x:c r="H12" s="21"/>
      <x:c r="I12" s="39"/>
      <x:c r="J12" s="40" t="str">
        <x:f>IF(AND(COUNTA(B12:I12)=0),"",IF(OR(AND(NOT(ISBLANK(B12)),OR(NOT(ISNUMBER(B12)),B12&lt;0,B12&gt;24)),AND(NOT(ISBLANK(C12)),IF(ISNUMBER(C12),OR(C12&lt;1,C12&gt;5,MOD(C12,1)&lt;&gt;0),TRUE))),"Lỗi ngủ/mệt",IF(NOT(ISNUMBER(E12)),"Thiếu tổng phút",IF(OR(E12&lt;0,OR(AND(NOT(ISBLANK(F12)),OR(NOT(ISNUMBER(F12)),F12&lt;0)),AND(NOT(ISBLANK(G12)),OR(NOT(ISNUMBER(G12)),G12&lt;0)))),"Lỗi phút",IF(SUM(F12:G12)&gt;E12,"Nghe+nói vượt tổng",IF(AND(D12&lt;&gt;"Nghỉ",D12&lt;&gt;"Kiệt sức",D12&lt;&gt;"Bình thường",D12&lt;&gt;"Đủ sức"),"Thiếu chế độ",IF(AND(LEN(I12)&gt;0,COUNTIF($I$63:$I$69,I12)=0),"Lỗi mã","Hợp lệ")))))))</x:f>
      </x:c>
      <x:c r="K12" s="40" t="n">
        <x:f>IF(AND(ISNUMBER(B12),B12&gt;=0,B12&lt;=24),1,0)</x:f>
        <x:v>0</x:v>
      </x:c>
      <x:c r="L12" s="40" t="n">
        <x:f>IF(ISNUMBER(C12),IF(AND(C12&gt;=1,C12&lt;=5,MOD(C12,1)=0),1,0),0)</x:f>
        <x:v>0</x:v>
      </x:c>
      <x:c r="M12" s="40" t="n">
        <x:f>IF(AND(J12="Hợp lệ",ISNUMBER(F12)),1,0)</x:f>
        <x:v>0</x:v>
      </x:c>
      <x:c r="N12" s="40" t="n">
        <x:f>IF(AND(J12="Hợp lệ",ISNUMBER(G12)),1,0)</x:f>
        <x:v>0</x:v>
      </x:c>
      <x:c r="O12" s="40" t="n">
        <x:f>IF(J12="Hợp lệ",1,0)</x:f>
        <x:v>0</x:v>
      </x:c>
    </x:row>
    <x:row r="13" ht="25" customHeight="1">
      <x:c r="A13" s="22" t="n">
        <x:v>46315</x:v>
      </x:c>
      <x:c r="B13" s="23"/>
      <x:c r="C13" s="24"/>
      <x:c r="D13" s="26"/>
      <x:c r="E13" s="24"/>
      <x:c r="F13" s="24"/>
      <x:c r="G13" s="24"/>
      <x:c r="H13" s="21"/>
      <x:c r="I13" s="39"/>
      <x:c r="J13" s="40" t="str">
        <x:f>IF(AND(COUNTA(B13:I13)=0),"",IF(OR(AND(NOT(ISBLANK(B13)),OR(NOT(ISNUMBER(B13)),B13&lt;0,B13&gt;24)),AND(NOT(ISBLANK(C13)),IF(ISNUMBER(C13),OR(C13&lt;1,C13&gt;5,MOD(C13,1)&lt;&gt;0),TRUE))),"Lỗi ngủ/mệt",IF(NOT(ISNUMBER(E13)),"Thiếu tổng phút",IF(OR(E13&lt;0,OR(AND(NOT(ISBLANK(F13)),OR(NOT(ISNUMBER(F13)),F13&lt;0)),AND(NOT(ISBLANK(G13)),OR(NOT(ISNUMBER(G13)),G13&lt;0)))),"Lỗi phút",IF(SUM(F13:G13)&gt;E13,"Nghe+nói vượt tổng",IF(AND(D13&lt;&gt;"Nghỉ",D13&lt;&gt;"Kiệt sức",D13&lt;&gt;"Bình thường",D13&lt;&gt;"Đủ sức"),"Thiếu chế độ",IF(AND(LEN(I13)&gt;0,COUNTIF($I$63:$I$69,I13)=0),"Lỗi mã","Hợp lệ")))))))</x:f>
      </x:c>
      <x:c r="K13" s="40" t="n">
        <x:f>IF(AND(ISNUMBER(B13),B13&gt;=0,B13&lt;=24),1,0)</x:f>
        <x:v>0</x:v>
      </x:c>
      <x:c r="L13" s="40" t="n">
        <x:f>IF(ISNUMBER(C13),IF(AND(C13&gt;=1,C13&lt;=5,MOD(C13,1)=0),1,0),0)</x:f>
        <x:v>0</x:v>
      </x:c>
      <x:c r="M13" s="40" t="n">
        <x:f>IF(AND(J13="Hợp lệ",ISNUMBER(F13)),1,0)</x:f>
        <x:v>0</x:v>
      </x:c>
      <x:c r="N13" s="40" t="n">
        <x:f>IF(AND(J13="Hợp lệ",ISNUMBER(G13)),1,0)</x:f>
        <x:v>0</x:v>
      </x:c>
      <x:c r="O13" s="40" t="n">
        <x:f>IF(J13="Hợp lệ",1,0)</x:f>
        <x:v>0</x:v>
      </x:c>
    </x:row>
    <x:row r="14" ht="25" customHeight="1">
      <x:c r="A14" s="22" t="n">
        <x:v>46316</x:v>
      </x:c>
      <x:c r="B14" s="23"/>
      <x:c r="C14" s="24"/>
      <x:c r="D14" s="26"/>
      <x:c r="E14" s="24"/>
      <x:c r="F14" s="24"/>
      <x:c r="G14" s="24"/>
      <x:c r="H14" s="21"/>
      <x:c r="I14" s="39"/>
      <x:c r="J14" s="40" t="str">
        <x:f>IF(AND(COUNTA(B14:I14)=0),"",IF(OR(AND(NOT(ISBLANK(B14)),OR(NOT(ISNUMBER(B14)),B14&lt;0,B14&gt;24)),AND(NOT(ISBLANK(C14)),IF(ISNUMBER(C14),OR(C14&lt;1,C14&gt;5,MOD(C14,1)&lt;&gt;0),TRUE))),"Lỗi ngủ/mệt",IF(NOT(ISNUMBER(E14)),"Thiếu tổng phút",IF(OR(E14&lt;0,OR(AND(NOT(ISBLANK(F14)),OR(NOT(ISNUMBER(F14)),F14&lt;0)),AND(NOT(ISBLANK(G14)),OR(NOT(ISNUMBER(G14)),G14&lt;0)))),"Lỗi phút",IF(SUM(F14:G14)&gt;E14,"Nghe+nói vượt tổng",IF(AND(D14&lt;&gt;"Nghỉ",D14&lt;&gt;"Kiệt sức",D14&lt;&gt;"Bình thường",D14&lt;&gt;"Đủ sức"),"Thiếu chế độ",IF(AND(LEN(I14)&gt;0,COUNTIF($I$63:$I$69,I14)=0),"Lỗi mã","Hợp lệ")))))))</x:f>
      </x:c>
      <x:c r="K14" s="40" t="n">
        <x:f>IF(AND(ISNUMBER(B14),B14&gt;=0,B14&lt;=24),1,0)</x:f>
        <x:v>0</x:v>
      </x:c>
      <x:c r="L14" s="40" t="n">
        <x:f>IF(ISNUMBER(C14),IF(AND(C14&gt;=1,C14&lt;=5,MOD(C14,1)=0),1,0),0)</x:f>
        <x:v>0</x:v>
      </x:c>
      <x:c r="M14" s="40" t="n">
        <x:f>IF(AND(J14="Hợp lệ",ISNUMBER(F14)),1,0)</x:f>
        <x:v>0</x:v>
      </x:c>
      <x:c r="N14" s="40" t="n">
        <x:f>IF(AND(J14="Hợp lệ",ISNUMBER(G14)),1,0)</x:f>
        <x:v>0</x:v>
      </x:c>
      <x:c r="O14" s="40" t="n">
        <x:f>IF(J14="Hợp lệ",1,0)</x:f>
        <x:v>0</x:v>
      </x:c>
    </x:row>
    <x:row r="15" ht="25" customHeight="1">
      <x:c r="A15" s="22" t="n">
        <x:v>46317</x:v>
      </x:c>
      <x:c r="B15" s="23"/>
      <x:c r="C15" s="24"/>
      <x:c r="D15" s="26"/>
      <x:c r="E15" s="24"/>
      <x:c r="F15" s="24"/>
      <x:c r="G15" s="24"/>
      <x:c r="H15" s="21"/>
      <x:c r="I15" s="39"/>
      <x:c r="J15" s="40" t="str">
        <x:f>IF(AND(COUNTA(B15:I15)=0),"",IF(OR(AND(NOT(ISBLANK(B15)),OR(NOT(ISNUMBER(B15)),B15&lt;0,B15&gt;24)),AND(NOT(ISBLANK(C15)),IF(ISNUMBER(C15),OR(C15&lt;1,C15&gt;5,MOD(C15,1)&lt;&gt;0),TRUE))),"Lỗi ngủ/mệt",IF(NOT(ISNUMBER(E15)),"Thiếu tổng phút",IF(OR(E15&lt;0,OR(AND(NOT(ISBLANK(F15)),OR(NOT(ISNUMBER(F15)),F15&lt;0)),AND(NOT(ISBLANK(G15)),OR(NOT(ISNUMBER(G15)),G15&lt;0)))),"Lỗi phút",IF(SUM(F15:G15)&gt;E15,"Nghe+nói vượt tổng",IF(AND(D15&lt;&gt;"Nghỉ",D15&lt;&gt;"Kiệt sức",D15&lt;&gt;"Bình thường",D15&lt;&gt;"Đủ sức"),"Thiếu chế độ",IF(AND(LEN(I15)&gt;0,COUNTIF($I$63:$I$69,I15)=0),"Lỗi mã","Hợp lệ")))))))</x:f>
      </x:c>
      <x:c r="K15" s="40" t="n">
        <x:f>IF(AND(ISNUMBER(B15),B15&gt;=0,B15&lt;=24),1,0)</x:f>
        <x:v>0</x:v>
      </x:c>
      <x:c r="L15" s="40" t="n">
        <x:f>IF(ISNUMBER(C15),IF(AND(C15&gt;=1,C15&lt;=5,MOD(C15,1)=0),1,0),0)</x:f>
        <x:v>0</x:v>
      </x:c>
      <x:c r="M15" s="40" t="n">
        <x:f>IF(AND(J15="Hợp lệ",ISNUMBER(F15)),1,0)</x:f>
        <x:v>0</x:v>
      </x:c>
      <x:c r="N15" s="40" t="n">
        <x:f>IF(AND(J15="Hợp lệ",ISNUMBER(G15)),1,0)</x:f>
        <x:v>0</x:v>
      </x:c>
      <x:c r="O15" s="40" t="n">
        <x:f>IF(J15="Hợp lệ",1,0)</x:f>
        <x:v>0</x:v>
      </x:c>
    </x:row>
    <x:row r="16" ht="25" customHeight="1">
      <x:c r="A16" s="22" t="n">
        <x:v>46318</x:v>
      </x:c>
      <x:c r="B16" s="23"/>
      <x:c r="C16" s="24"/>
      <x:c r="D16" s="26"/>
      <x:c r="E16" s="24"/>
      <x:c r="F16" s="24"/>
      <x:c r="G16" s="24"/>
      <x:c r="H16" s="21"/>
      <x:c r="I16" s="39"/>
      <x:c r="J16" s="40" t="str">
        <x:f>IF(AND(COUNTA(B16:I16)=0),"",IF(OR(AND(NOT(ISBLANK(B16)),OR(NOT(ISNUMBER(B16)),B16&lt;0,B16&gt;24)),AND(NOT(ISBLANK(C16)),IF(ISNUMBER(C16),OR(C16&lt;1,C16&gt;5,MOD(C16,1)&lt;&gt;0),TRUE))),"Lỗi ngủ/mệt",IF(NOT(ISNUMBER(E16)),"Thiếu tổng phút",IF(OR(E16&lt;0,OR(AND(NOT(ISBLANK(F16)),OR(NOT(ISNUMBER(F16)),F16&lt;0)),AND(NOT(ISBLANK(G16)),OR(NOT(ISNUMBER(G16)),G16&lt;0)))),"Lỗi phút",IF(SUM(F16:G16)&gt;E16,"Nghe+nói vượt tổng",IF(AND(D16&lt;&gt;"Nghỉ",D16&lt;&gt;"Kiệt sức",D16&lt;&gt;"Bình thường",D16&lt;&gt;"Đủ sức"),"Thiếu chế độ",IF(AND(LEN(I16)&gt;0,COUNTIF($I$63:$I$69,I16)=0),"Lỗi mã","Hợp lệ")))))))</x:f>
      </x:c>
      <x:c r="K16" s="40" t="n">
        <x:f>IF(AND(ISNUMBER(B16),B16&gt;=0,B16&lt;=24),1,0)</x:f>
        <x:v>0</x:v>
      </x:c>
      <x:c r="L16" s="40" t="n">
        <x:f>IF(ISNUMBER(C16),IF(AND(C16&gt;=1,C16&lt;=5,MOD(C16,1)=0),1,0),0)</x:f>
        <x:v>0</x:v>
      </x:c>
      <x:c r="M16" s="40" t="n">
        <x:f>IF(AND(J16="Hợp lệ",ISNUMBER(F16)),1,0)</x:f>
        <x:v>0</x:v>
      </x:c>
      <x:c r="N16" s="40" t="n">
        <x:f>IF(AND(J16="Hợp lệ",ISNUMBER(G16)),1,0)</x:f>
        <x:v>0</x:v>
      </x:c>
      <x:c r="O16" s="40" t="n">
        <x:f>IF(J16="Hợp lệ",1,0)</x:f>
        <x:v>0</x:v>
      </x:c>
    </x:row>
    <x:row r="17" ht="25" customHeight="1">
      <x:c r="A17" s="22" t="n">
        <x:v>46319</x:v>
      </x:c>
      <x:c r="B17" s="23"/>
      <x:c r="C17" s="24"/>
      <x:c r="D17" s="26"/>
      <x:c r="E17" s="24"/>
      <x:c r="F17" s="24"/>
      <x:c r="G17" s="24"/>
      <x:c r="H17" s="21"/>
      <x:c r="I17" s="39"/>
      <x:c r="J17" s="40" t="str">
        <x:f>IF(AND(COUNTA(B17:I17)=0),"",IF(OR(AND(NOT(ISBLANK(B17)),OR(NOT(ISNUMBER(B17)),B17&lt;0,B17&gt;24)),AND(NOT(ISBLANK(C17)),IF(ISNUMBER(C17),OR(C17&lt;1,C17&gt;5,MOD(C17,1)&lt;&gt;0),TRUE))),"Lỗi ngủ/mệt",IF(NOT(ISNUMBER(E17)),"Thiếu tổng phút",IF(OR(E17&lt;0,OR(AND(NOT(ISBLANK(F17)),OR(NOT(ISNUMBER(F17)),F17&lt;0)),AND(NOT(ISBLANK(G17)),OR(NOT(ISNUMBER(G17)),G17&lt;0)))),"Lỗi phút",IF(SUM(F17:G17)&gt;E17,"Nghe+nói vượt tổng",IF(AND(D17&lt;&gt;"Nghỉ",D17&lt;&gt;"Kiệt sức",D17&lt;&gt;"Bình thường",D17&lt;&gt;"Đủ sức"),"Thiếu chế độ",IF(AND(LEN(I17)&gt;0,COUNTIF($I$63:$I$69,I17)=0),"Lỗi mã","Hợp lệ")))))))</x:f>
      </x:c>
      <x:c r="K17" s="40" t="n">
        <x:f>IF(AND(ISNUMBER(B17),B17&gt;=0,B17&lt;=24),1,0)</x:f>
        <x:v>0</x:v>
      </x:c>
      <x:c r="L17" s="40" t="n">
        <x:f>IF(ISNUMBER(C17),IF(AND(C17&gt;=1,C17&lt;=5,MOD(C17,1)=0),1,0),0)</x:f>
        <x:v>0</x:v>
      </x:c>
      <x:c r="M17" s="40" t="n">
        <x:f>IF(AND(J17="Hợp lệ",ISNUMBER(F17)),1,0)</x:f>
        <x:v>0</x:v>
      </x:c>
      <x:c r="N17" s="40" t="n">
        <x:f>IF(AND(J17="Hợp lệ",ISNUMBER(G17)),1,0)</x:f>
        <x:v>0</x:v>
      </x:c>
      <x:c r="O17" s="40" t="n">
        <x:f>IF(J17="Hợp lệ",1,0)</x:f>
        <x:v>0</x:v>
      </x:c>
    </x:row>
    <x:row r="18" ht="25" customHeight="1">
      <x:c r="A18" s="22" t="n">
        <x:v>46320</x:v>
      </x:c>
      <x:c r="B18" s="23"/>
      <x:c r="C18" s="24"/>
      <x:c r="D18" s="26"/>
      <x:c r="E18" s="24"/>
      <x:c r="F18" s="24"/>
      <x:c r="G18" s="24"/>
      <x:c r="H18" s="21"/>
      <x:c r="I18" s="39"/>
      <x:c r="J18" s="40" t="str">
        <x:f>IF(AND(COUNTA(B18:I18)=0),"",IF(OR(AND(NOT(ISBLANK(B18)),OR(NOT(ISNUMBER(B18)),B18&lt;0,B18&gt;24)),AND(NOT(ISBLANK(C18)),IF(ISNUMBER(C18),OR(C18&lt;1,C18&gt;5,MOD(C18,1)&lt;&gt;0),TRUE))),"Lỗi ngủ/mệt",IF(NOT(ISNUMBER(E18)),"Thiếu tổng phút",IF(OR(E18&lt;0,OR(AND(NOT(ISBLANK(F18)),OR(NOT(ISNUMBER(F18)),F18&lt;0)),AND(NOT(ISBLANK(G18)),OR(NOT(ISNUMBER(G18)),G18&lt;0)))),"Lỗi phút",IF(SUM(F18:G18)&gt;E18,"Nghe+nói vượt tổng",IF(AND(D18&lt;&gt;"Nghỉ",D18&lt;&gt;"Kiệt sức",D18&lt;&gt;"Bình thường",D18&lt;&gt;"Đủ sức"),"Thiếu chế độ",IF(AND(LEN(I18)&gt;0,COUNTIF($I$63:$I$69,I18)=0),"Lỗi mã","Hợp lệ")))))))</x:f>
      </x:c>
      <x:c r="K18" s="40" t="n">
        <x:f>IF(AND(ISNUMBER(B18),B18&gt;=0,B18&lt;=24),1,0)</x:f>
        <x:v>0</x:v>
      </x:c>
      <x:c r="L18" s="40" t="n">
        <x:f>IF(ISNUMBER(C18),IF(AND(C18&gt;=1,C18&lt;=5,MOD(C18,1)=0),1,0),0)</x:f>
        <x:v>0</x:v>
      </x:c>
      <x:c r="M18" s="40" t="n">
        <x:f>IF(AND(J18="Hợp lệ",ISNUMBER(F18)),1,0)</x:f>
        <x:v>0</x:v>
      </x:c>
      <x:c r="N18" s="40" t="n">
        <x:f>IF(AND(J18="Hợp lệ",ISNUMBER(G18)),1,0)</x:f>
        <x:v>0</x:v>
      </x:c>
      <x:c r="O18" s="40" t="n">
        <x:f>IF(J18="Hợp lệ",1,0)</x:f>
        <x:v>0</x:v>
      </x:c>
    </x:row>
    <x:row r="19" ht="25" customHeight="1">
      <x:c r="A19" s="22" t="n">
        <x:v>46321</x:v>
      </x:c>
      <x:c r="B19" s="23"/>
      <x:c r="C19" s="24"/>
      <x:c r="D19" s="26"/>
      <x:c r="E19" s="24"/>
      <x:c r="F19" s="24"/>
      <x:c r="G19" s="24"/>
      <x:c r="H19" s="21"/>
      <x:c r="I19" s="39"/>
      <x:c r="J19" s="40" t="str">
        <x:f>IF(AND(COUNTA(B19:I19)=0),"",IF(OR(AND(NOT(ISBLANK(B19)),OR(NOT(ISNUMBER(B19)),B19&lt;0,B19&gt;24)),AND(NOT(ISBLANK(C19)),IF(ISNUMBER(C19),OR(C19&lt;1,C19&gt;5,MOD(C19,1)&lt;&gt;0),TRUE))),"Lỗi ngủ/mệt",IF(NOT(ISNUMBER(E19)),"Thiếu tổng phút",IF(OR(E19&lt;0,OR(AND(NOT(ISBLANK(F19)),OR(NOT(ISNUMBER(F19)),F19&lt;0)),AND(NOT(ISBLANK(G19)),OR(NOT(ISNUMBER(G19)),G19&lt;0)))),"Lỗi phút",IF(SUM(F19:G19)&gt;E19,"Nghe+nói vượt tổng",IF(AND(D19&lt;&gt;"Nghỉ",D19&lt;&gt;"Kiệt sức",D19&lt;&gt;"Bình thường",D19&lt;&gt;"Đủ sức"),"Thiếu chế độ",IF(AND(LEN(I19)&gt;0,COUNTIF($I$63:$I$69,I19)=0),"Lỗi mã","Hợp lệ")))))))</x:f>
      </x:c>
      <x:c r="K19" s="40" t="n">
        <x:f>IF(AND(ISNUMBER(B19),B19&gt;=0,B19&lt;=24),1,0)</x:f>
        <x:v>0</x:v>
      </x:c>
      <x:c r="L19" s="40" t="n">
        <x:f>IF(ISNUMBER(C19),IF(AND(C19&gt;=1,C19&lt;=5,MOD(C19,1)=0),1,0),0)</x:f>
        <x:v>0</x:v>
      </x:c>
      <x:c r="M19" s="40" t="n">
        <x:f>IF(AND(J19="Hợp lệ",ISNUMBER(F19)),1,0)</x:f>
        <x:v>0</x:v>
      </x:c>
      <x:c r="N19" s="40" t="n">
        <x:f>IF(AND(J19="Hợp lệ",ISNUMBER(G19)),1,0)</x:f>
        <x:v>0</x:v>
      </x:c>
      <x:c r="O19" s="40" t="n">
        <x:f>IF(J19="Hợp lệ",1,0)</x:f>
        <x:v>0</x:v>
      </x:c>
    </x:row>
    <x:row r="20" ht="25" customHeight="1">
      <x:c r="A20" s="22" t="n">
        <x:v>46322</x:v>
      </x:c>
      <x:c r="B20" s="23"/>
      <x:c r="C20" s="24"/>
      <x:c r="D20" s="26"/>
      <x:c r="E20" s="24"/>
      <x:c r="F20" s="24"/>
      <x:c r="G20" s="24"/>
      <x:c r="H20" s="21"/>
      <x:c r="I20" s="39"/>
      <x:c r="J20" s="40" t="str">
        <x:f>IF(AND(COUNTA(B20:I20)=0),"",IF(OR(AND(NOT(ISBLANK(B20)),OR(NOT(ISNUMBER(B20)),B20&lt;0,B20&gt;24)),AND(NOT(ISBLANK(C20)),IF(ISNUMBER(C20),OR(C20&lt;1,C20&gt;5,MOD(C20,1)&lt;&gt;0),TRUE))),"Lỗi ngủ/mệt",IF(NOT(ISNUMBER(E20)),"Thiếu tổng phút",IF(OR(E20&lt;0,OR(AND(NOT(ISBLANK(F20)),OR(NOT(ISNUMBER(F20)),F20&lt;0)),AND(NOT(ISBLANK(G20)),OR(NOT(ISNUMBER(G20)),G20&lt;0)))),"Lỗi phút",IF(SUM(F20:G20)&gt;E20,"Nghe+nói vượt tổng",IF(AND(D20&lt;&gt;"Nghỉ",D20&lt;&gt;"Kiệt sức",D20&lt;&gt;"Bình thường",D20&lt;&gt;"Đủ sức"),"Thiếu chế độ",IF(AND(LEN(I20)&gt;0,COUNTIF($I$63:$I$69,I20)=0),"Lỗi mã","Hợp lệ")))))))</x:f>
      </x:c>
      <x:c r="K20" s="40" t="n">
        <x:f>IF(AND(ISNUMBER(B20),B20&gt;=0,B20&lt;=24),1,0)</x:f>
        <x:v>0</x:v>
      </x:c>
      <x:c r="L20" s="40" t="n">
        <x:f>IF(ISNUMBER(C20),IF(AND(C20&gt;=1,C20&lt;=5,MOD(C20,1)=0),1,0),0)</x:f>
        <x:v>0</x:v>
      </x:c>
      <x:c r="M20" s="40" t="n">
        <x:f>IF(AND(J20="Hợp lệ",ISNUMBER(F20)),1,0)</x:f>
        <x:v>0</x:v>
      </x:c>
      <x:c r="N20" s="40" t="n">
        <x:f>IF(AND(J20="Hợp lệ",ISNUMBER(G20)),1,0)</x:f>
        <x:v>0</x:v>
      </x:c>
      <x:c r="O20" s="40" t="n">
        <x:f>IF(J20="Hợp lệ",1,0)</x:f>
        <x:v>0</x:v>
      </x:c>
    </x:row>
    <x:row r="21" ht="25" customHeight="1">
      <x:c r="A21" s="22" t="n">
        <x:v>46323</x:v>
      </x:c>
      <x:c r="B21" s="23"/>
      <x:c r="C21" s="24"/>
      <x:c r="D21" s="26"/>
      <x:c r="E21" s="24"/>
      <x:c r="F21" s="24"/>
      <x:c r="G21" s="24"/>
      <x:c r="H21" s="21"/>
      <x:c r="I21" s="39"/>
      <x:c r="J21" s="40" t="str">
        <x:f>IF(AND(COUNTA(B21:I21)=0),"",IF(OR(AND(NOT(ISBLANK(B21)),OR(NOT(ISNUMBER(B21)),B21&lt;0,B21&gt;24)),AND(NOT(ISBLANK(C21)),IF(ISNUMBER(C21),OR(C21&lt;1,C21&gt;5,MOD(C21,1)&lt;&gt;0),TRUE))),"Lỗi ngủ/mệt",IF(NOT(ISNUMBER(E21)),"Thiếu tổng phút",IF(OR(E21&lt;0,OR(AND(NOT(ISBLANK(F21)),OR(NOT(ISNUMBER(F21)),F21&lt;0)),AND(NOT(ISBLANK(G21)),OR(NOT(ISNUMBER(G21)),G21&lt;0)))),"Lỗi phút",IF(SUM(F21:G21)&gt;E21,"Nghe+nói vượt tổng",IF(AND(D21&lt;&gt;"Nghỉ",D21&lt;&gt;"Kiệt sức",D21&lt;&gt;"Bình thường",D21&lt;&gt;"Đủ sức"),"Thiếu chế độ",IF(AND(LEN(I21)&gt;0,COUNTIF($I$63:$I$69,I21)=0),"Lỗi mã","Hợp lệ")))))))</x:f>
      </x:c>
      <x:c r="K21" s="40" t="n">
        <x:f>IF(AND(ISNUMBER(B21),B21&gt;=0,B21&lt;=24),1,0)</x:f>
        <x:v>0</x:v>
      </x:c>
      <x:c r="L21" s="40" t="n">
        <x:f>IF(ISNUMBER(C21),IF(AND(C21&gt;=1,C21&lt;=5,MOD(C21,1)=0),1,0),0)</x:f>
        <x:v>0</x:v>
      </x:c>
      <x:c r="M21" s="40" t="n">
        <x:f>IF(AND(J21="Hợp lệ",ISNUMBER(F21)),1,0)</x:f>
        <x:v>0</x:v>
      </x:c>
      <x:c r="N21" s="40" t="n">
        <x:f>IF(AND(J21="Hợp lệ",ISNUMBER(G21)),1,0)</x:f>
        <x:v>0</x:v>
      </x:c>
      <x:c r="O21" s="40" t="n">
        <x:f>IF(J21="Hợp lệ",1,0)</x:f>
        <x:v>0</x:v>
      </x:c>
    </x:row>
    <x:row r="22" ht="25" customHeight="1">
      <x:c r="A22" s="22" t="n">
        <x:v>46324</x:v>
      </x:c>
      <x:c r="B22" s="23"/>
      <x:c r="C22" s="24"/>
      <x:c r="D22" s="26"/>
      <x:c r="E22" s="24"/>
      <x:c r="F22" s="24"/>
      <x:c r="G22" s="24"/>
      <x:c r="H22" s="21"/>
      <x:c r="I22" s="39"/>
      <x:c r="J22" s="40" t="str">
        <x:f>IF(AND(COUNTA(B22:I22)=0),"",IF(OR(AND(NOT(ISBLANK(B22)),OR(NOT(ISNUMBER(B22)),B22&lt;0,B22&gt;24)),AND(NOT(ISBLANK(C22)),IF(ISNUMBER(C22),OR(C22&lt;1,C22&gt;5,MOD(C22,1)&lt;&gt;0),TRUE))),"Lỗi ngủ/mệt",IF(NOT(ISNUMBER(E22)),"Thiếu tổng phút",IF(OR(E22&lt;0,OR(AND(NOT(ISBLANK(F22)),OR(NOT(ISNUMBER(F22)),F22&lt;0)),AND(NOT(ISBLANK(G22)),OR(NOT(ISNUMBER(G22)),G22&lt;0)))),"Lỗi phút",IF(SUM(F22:G22)&gt;E22,"Nghe+nói vượt tổng",IF(AND(D22&lt;&gt;"Nghỉ",D22&lt;&gt;"Kiệt sức",D22&lt;&gt;"Bình thường",D22&lt;&gt;"Đủ sức"),"Thiếu chế độ",IF(AND(LEN(I22)&gt;0,COUNTIF($I$63:$I$69,I22)=0),"Lỗi mã","Hợp lệ")))))))</x:f>
      </x:c>
      <x:c r="K22" s="40" t="n">
        <x:f>IF(AND(ISNUMBER(B22),B22&gt;=0,B22&lt;=24),1,0)</x:f>
        <x:v>0</x:v>
      </x:c>
      <x:c r="L22" s="40" t="n">
        <x:f>IF(ISNUMBER(C22),IF(AND(C22&gt;=1,C22&lt;=5,MOD(C22,1)=0),1,0),0)</x:f>
        <x:v>0</x:v>
      </x:c>
      <x:c r="M22" s="40" t="n">
        <x:f>IF(AND(J22="Hợp lệ",ISNUMBER(F22)),1,0)</x:f>
        <x:v>0</x:v>
      </x:c>
      <x:c r="N22" s="40" t="n">
        <x:f>IF(AND(J22="Hợp lệ",ISNUMBER(G22)),1,0)</x:f>
        <x:v>0</x:v>
      </x:c>
      <x:c r="O22" s="40" t="n">
        <x:f>IF(J22="Hợp lệ",1,0)</x:f>
        <x:v>0</x:v>
      </x:c>
    </x:row>
    <x:row r="23" ht="25" customHeight="1">
      <x:c r="A23" s="22" t="n">
        <x:v>46325</x:v>
      </x:c>
      <x:c r="B23" s="23"/>
      <x:c r="C23" s="24"/>
      <x:c r="D23" s="26"/>
      <x:c r="E23" s="24"/>
      <x:c r="F23" s="24"/>
      <x:c r="G23" s="24"/>
      <x:c r="H23" s="21"/>
      <x:c r="I23" s="39"/>
      <x:c r="J23" s="40" t="str">
        <x:f>IF(AND(COUNTA(B23:I23)=0),"",IF(OR(AND(NOT(ISBLANK(B23)),OR(NOT(ISNUMBER(B23)),B23&lt;0,B23&gt;24)),AND(NOT(ISBLANK(C23)),IF(ISNUMBER(C23),OR(C23&lt;1,C23&gt;5,MOD(C23,1)&lt;&gt;0),TRUE))),"Lỗi ngủ/mệt",IF(NOT(ISNUMBER(E23)),"Thiếu tổng phút",IF(OR(E23&lt;0,OR(AND(NOT(ISBLANK(F23)),OR(NOT(ISNUMBER(F23)),F23&lt;0)),AND(NOT(ISBLANK(G23)),OR(NOT(ISNUMBER(G23)),G23&lt;0)))),"Lỗi phút",IF(SUM(F23:G23)&gt;E23,"Nghe+nói vượt tổng",IF(AND(D23&lt;&gt;"Nghỉ",D23&lt;&gt;"Kiệt sức",D23&lt;&gt;"Bình thường",D23&lt;&gt;"Đủ sức"),"Thiếu chế độ",IF(AND(LEN(I23)&gt;0,COUNTIF($I$63:$I$69,I23)=0),"Lỗi mã","Hợp lệ")))))))</x:f>
      </x:c>
      <x:c r="K23" s="40" t="n">
        <x:f>IF(AND(ISNUMBER(B23),B23&gt;=0,B23&lt;=24),1,0)</x:f>
        <x:v>0</x:v>
      </x:c>
      <x:c r="L23" s="40" t="n">
        <x:f>IF(ISNUMBER(C23),IF(AND(C23&gt;=1,C23&lt;=5,MOD(C23,1)=0),1,0),0)</x:f>
        <x:v>0</x:v>
      </x:c>
      <x:c r="M23" s="40" t="n">
        <x:f>IF(AND(J23="Hợp lệ",ISNUMBER(F23)),1,0)</x:f>
        <x:v>0</x:v>
      </x:c>
      <x:c r="N23" s="40" t="n">
        <x:f>IF(AND(J23="Hợp lệ",ISNUMBER(G23)),1,0)</x:f>
        <x:v>0</x:v>
      </x:c>
      <x:c r="O23" s="40" t="n">
        <x:f>IF(J23="Hợp lệ",1,0)</x:f>
        <x:v>0</x:v>
      </x:c>
    </x:row>
    <x:row r="24" ht="25" customHeight="1">
      <x:c r="A24" s="22" t="n">
        <x:v>46326</x:v>
      </x:c>
      <x:c r="B24" s="23"/>
      <x:c r="C24" s="24"/>
      <x:c r="D24" s="26"/>
      <x:c r="E24" s="24"/>
      <x:c r="F24" s="24"/>
      <x:c r="G24" s="24"/>
      <x:c r="H24" s="21"/>
      <x:c r="I24" s="39"/>
      <x:c r="J24" s="40" t="str">
        <x:f>IF(AND(COUNTA(B24:I24)=0),"",IF(OR(AND(NOT(ISBLANK(B24)),OR(NOT(ISNUMBER(B24)),B24&lt;0,B24&gt;24)),AND(NOT(ISBLANK(C24)),IF(ISNUMBER(C24),OR(C24&lt;1,C24&gt;5,MOD(C24,1)&lt;&gt;0),TRUE))),"Lỗi ngủ/mệt",IF(NOT(ISNUMBER(E24)),"Thiếu tổng phút",IF(OR(E24&lt;0,OR(AND(NOT(ISBLANK(F24)),OR(NOT(ISNUMBER(F24)),F24&lt;0)),AND(NOT(ISBLANK(G24)),OR(NOT(ISNUMBER(G24)),G24&lt;0)))),"Lỗi phút",IF(SUM(F24:G24)&gt;E24,"Nghe+nói vượt tổng",IF(AND(D24&lt;&gt;"Nghỉ",D24&lt;&gt;"Kiệt sức",D24&lt;&gt;"Bình thường",D24&lt;&gt;"Đủ sức"),"Thiếu chế độ",IF(AND(LEN(I24)&gt;0,COUNTIF($I$63:$I$69,I24)=0),"Lỗi mã","Hợp lệ")))))))</x:f>
      </x:c>
      <x:c r="K24" s="40" t="n">
        <x:f>IF(AND(ISNUMBER(B24),B24&gt;=0,B24&lt;=24),1,0)</x:f>
        <x:v>0</x:v>
      </x:c>
      <x:c r="L24" s="40" t="n">
        <x:f>IF(ISNUMBER(C24),IF(AND(C24&gt;=1,C24&lt;=5,MOD(C24,1)=0),1,0),0)</x:f>
        <x:v>0</x:v>
      </x:c>
      <x:c r="M24" s="40" t="n">
        <x:f>IF(AND(J24="Hợp lệ",ISNUMBER(F24)),1,0)</x:f>
        <x:v>0</x:v>
      </x:c>
      <x:c r="N24" s="40" t="n">
        <x:f>IF(AND(J24="Hợp lệ",ISNUMBER(G24)),1,0)</x:f>
        <x:v>0</x:v>
      </x:c>
      <x:c r="O24" s="40" t="n">
        <x:f>IF(J24="Hợp lệ",1,0)</x:f>
        <x:v>0</x:v>
      </x:c>
    </x:row>
    <x:row r="25" ht="25" customHeight="1">
      <x:c r="A25" s="22" t="n">
        <x:v>46327</x:v>
      </x:c>
      <x:c r="B25" s="23"/>
      <x:c r="C25" s="24"/>
      <x:c r="D25" s="26"/>
      <x:c r="E25" s="24"/>
      <x:c r="F25" s="24"/>
      <x:c r="G25" s="24"/>
      <x:c r="H25" s="21"/>
      <x:c r="I25" s="39"/>
      <x:c r="J25" s="40" t="str">
        <x:f>IF(AND(COUNTA(B25:I25)=0),"",IF(OR(AND(NOT(ISBLANK(B25)),OR(NOT(ISNUMBER(B25)),B25&lt;0,B25&gt;24)),AND(NOT(ISBLANK(C25)),IF(ISNUMBER(C25),OR(C25&lt;1,C25&gt;5,MOD(C25,1)&lt;&gt;0),TRUE))),"Lỗi ngủ/mệt",IF(NOT(ISNUMBER(E25)),"Thiếu tổng phút",IF(OR(E25&lt;0,OR(AND(NOT(ISBLANK(F25)),OR(NOT(ISNUMBER(F25)),F25&lt;0)),AND(NOT(ISBLANK(G25)),OR(NOT(ISNUMBER(G25)),G25&lt;0)))),"Lỗi phút",IF(SUM(F25:G25)&gt;E25,"Nghe+nói vượt tổng",IF(AND(D25&lt;&gt;"Nghỉ",D25&lt;&gt;"Kiệt sức",D25&lt;&gt;"Bình thường",D25&lt;&gt;"Đủ sức"),"Thiếu chế độ",IF(AND(LEN(I25)&gt;0,COUNTIF($I$63:$I$69,I25)=0),"Lỗi mã","Hợp lệ")))))))</x:f>
      </x:c>
      <x:c r="K25" s="40" t="n">
        <x:f>IF(AND(ISNUMBER(B25),B25&gt;=0,B25&lt;=24),1,0)</x:f>
        <x:v>0</x:v>
      </x:c>
      <x:c r="L25" s="40" t="n">
        <x:f>IF(ISNUMBER(C25),IF(AND(C25&gt;=1,C25&lt;=5,MOD(C25,1)=0),1,0),0)</x:f>
        <x:v>0</x:v>
      </x:c>
      <x:c r="M25" s="40" t="n">
        <x:f>IF(AND(J25="Hợp lệ",ISNUMBER(F25)),1,0)</x:f>
        <x:v>0</x:v>
      </x:c>
      <x:c r="N25" s="40" t="n">
        <x:f>IF(AND(J25="Hợp lệ",ISNUMBER(G25)),1,0)</x:f>
        <x:v>0</x:v>
      </x:c>
      <x:c r="O25" s="40" t="n">
        <x:f>IF(J25="Hợp lệ",1,0)</x:f>
        <x:v>0</x:v>
      </x:c>
    </x:row>
    <x:row r="26" ht="25" customHeight="1">
      <x:c r="A26" s="22" t="n">
        <x:v>46328</x:v>
      </x:c>
      <x:c r="B26" s="23"/>
      <x:c r="C26" s="24"/>
      <x:c r="D26" s="26"/>
      <x:c r="E26" s="24"/>
      <x:c r="F26" s="24"/>
      <x:c r="G26" s="24"/>
      <x:c r="H26" s="21"/>
      <x:c r="I26" s="39"/>
      <x:c r="J26" s="40" t="str">
        <x:f>IF(AND(COUNTA(B26:I26)=0),"",IF(OR(AND(NOT(ISBLANK(B26)),OR(NOT(ISNUMBER(B26)),B26&lt;0,B26&gt;24)),AND(NOT(ISBLANK(C26)),IF(ISNUMBER(C26),OR(C26&lt;1,C26&gt;5,MOD(C26,1)&lt;&gt;0),TRUE))),"Lỗi ngủ/mệt",IF(NOT(ISNUMBER(E26)),"Thiếu tổng phút",IF(OR(E26&lt;0,OR(AND(NOT(ISBLANK(F26)),OR(NOT(ISNUMBER(F26)),F26&lt;0)),AND(NOT(ISBLANK(G26)),OR(NOT(ISNUMBER(G26)),G26&lt;0)))),"Lỗi phút",IF(SUM(F26:G26)&gt;E26,"Nghe+nói vượt tổng",IF(AND(D26&lt;&gt;"Nghỉ",D26&lt;&gt;"Kiệt sức",D26&lt;&gt;"Bình thường",D26&lt;&gt;"Đủ sức"),"Thiếu chế độ",IF(AND(LEN(I26)&gt;0,COUNTIF($I$63:$I$69,I26)=0),"Lỗi mã","Hợp lệ")))))))</x:f>
      </x:c>
      <x:c r="K26" s="40" t="n">
        <x:f>IF(AND(ISNUMBER(B26),B26&gt;=0,B26&lt;=24),1,0)</x:f>
        <x:v>0</x:v>
      </x:c>
      <x:c r="L26" s="40" t="n">
        <x:f>IF(ISNUMBER(C26),IF(AND(C26&gt;=1,C26&lt;=5,MOD(C26,1)=0),1,0),0)</x:f>
        <x:v>0</x:v>
      </x:c>
      <x:c r="M26" s="40" t="n">
        <x:f>IF(AND(J26="Hợp lệ",ISNUMBER(F26)),1,0)</x:f>
        <x:v>0</x:v>
      </x:c>
      <x:c r="N26" s="40" t="n">
        <x:f>IF(AND(J26="Hợp lệ",ISNUMBER(G26)),1,0)</x:f>
        <x:v>0</x:v>
      </x:c>
      <x:c r="O26" s="40" t="n">
        <x:f>IF(J26="Hợp lệ",1,0)</x:f>
        <x:v>0</x:v>
      </x:c>
    </x:row>
    <x:row r="27" ht="25" customHeight="1">
      <x:c r="A27" s="22" t="n">
        <x:v>46329</x:v>
      </x:c>
      <x:c r="B27" s="23"/>
      <x:c r="C27" s="24"/>
      <x:c r="D27" s="26"/>
      <x:c r="E27" s="24"/>
      <x:c r="F27" s="24"/>
      <x:c r="G27" s="24"/>
      <x:c r="H27" s="21"/>
      <x:c r="I27" s="39"/>
      <x:c r="J27" s="40" t="str">
        <x:f>IF(AND(COUNTA(B27:I27)=0),"",IF(OR(AND(NOT(ISBLANK(B27)),OR(NOT(ISNUMBER(B27)),B27&lt;0,B27&gt;24)),AND(NOT(ISBLANK(C27)),IF(ISNUMBER(C27),OR(C27&lt;1,C27&gt;5,MOD(C27,1)&lt;&gt;0),TRUE))),"Lỗi ngủ/mệt",IF(NOT(ISNUMBER(E27)),"Thiếu tổng phút",IF(OR(E27&lt;0,OR(AND(NOT(ISBLANK(F27)),OR(NOT(ISNUMBER(F27)),F27&lt;0)),AND(NOT(ISBLANK(G27)),OR(NOT(ISNUMBER(G27)),G27&lt;0)))),"Lỗi phút",IF(SUM(F27:G27)&gt;E27,"Nghe+nói vượt tổng",IF(AND(D27&lt;&gt;"Nghỉ",D27&lt;&gt;"Kiệt sức",D27&lt;&gt;"Bình thường",D27&lt;&gt;"Đủ sức"),"Thiếu chế độ",IF(AND(LEN(I27)&gt;0,COUNTIF($I$63:$I$69,I27)=0),"Lỗi mã","Hợp lệ")))))))</x:f>
      </x:c>
      <x:c r="K27" s="40" t="n">
        <x:f>IF(AND(ISNUMBER(B27),B27&gt;=0,B27&lt;=24),1,0)</x:f>
        <x:v>0</x:v>
      </x:c>
      <x:c r="L27" s="40" t="n">
        <x:f>IF(ISNUMBER(C27),IF(AND(C27&gt;=1,C27&lt;=5,MOD(C27,1)=0),1,0),0)</x:f>
        <x:v>0</x:v>
      </x:c>
      <x:c r="M27" s="40" t="n">
        <x:f>IF(AND(J27="Hợp lệ",ISNUMBER(F27)),1,0)</x:f>
        <x:v>0</x:v>
      </x:c>
      <x:c r="N27" s="40" t="n">
        <x:f>IF(AND(J27="Hợp lệ",ISNUMBER(G27)),1,0)</x:f>
        <x:v>0</x:v>
      </x:c>
      <x:c r="O27" s="40" t="n">
        <x:f>IF(J27="Hợp lệ",1,0)</x:f>
        <x:v>0</x:v>
      </x:c>
    </x:row>
    <x:row r="28" ht="25" customHeight="1">
      <x:c r="A28" s="22" t="n">
        <x:v>46330</x:v>
      </x:c>
      <x:c r="B28" s="23"/>
      <x:c r="C28" s="24"/>
      <x:c r="D28" s="26"/>
      <x:c r="E28" s="24"/>
      <x:c r="F28" s="24"/>
      <x:c r="G28" s="24"/>
      <x:c r="H28" s="21"/>
      <x:c r="I28" s="39"/>
      <x:c r="J28" s="40" t="str">
        <x:f>IF(AND(COUNTA(B28:I28)=0),"",IF(OR(AND(NOT(ISBLANK(B28)),OR(NOT(ISNUMBER(B28)),B28&lt;0,B28&gt;24)),AND(NOT(ISBLANK(C28)),IF(ISNUMBER(C28),OR(C28&lt;1,C28&gt;5,MOD(C28,1)&lt;&gt;0),TRUE))),"Lỗi ngủ/mệt",IF(NOT(ISNUMBER(E28)),"Thiếu tổng phút",IF(OR(E28&lt;0,OR(AND(NOT(ISBLANK(F28)),OR(NOT(ISNUMBER(F28)),F28&lt;0)),AND(NOT(ISBLANK(G28)),OR(NOT(ISNUMBER(G28)),G28&lt;0)))),"Lỗi phút",IF(SUM(F28:G28)&gt;E28,"Nghe+nói vượt tổng",IF(AND(D28&lt;&gt;"Nghỉ",D28&lt;&gt;"Kiệt sức",D28&lt;&gt;"Bình thường",D28&lt;&gt;"Đủ sức"),"Thiếu chế độ",IF(AND(LEN(I28)&gt;0,COUNTIF($I$63:$I$69,I28)=0),"Lỗi mã","Hợp lệ")))))))</x:f>
      </x:c>
      <x:c r="K28" s="40" t="n">
        <x:f>IF(AND(ISNUMBER(B28),B28&gt;=0,B28&lt;=24),1,0)</x:f>
        <x:v>0</x:v>
      </x:c>
      <x:c r="L28" s="40" t="n">
        <x:f>IF(ISNUMBER(C28),IF(AND(C28&gt;=1,C28&lt;=5,MOD(C28,1)=0),1,0),0)</x:f>
        <x:v>0</x:v>
      </x:c>
      <x:c r="M28" s="40" t="n">
        <x:f>IF(AND(J28="Hợp lệ",ISNUMBER(F28)),1,0)</x:f>
        <x:v>0</x:v>
      </x:c>
      <x:c r="N28" s="40" t="n">
        <x:f>IF(AND(J28="Hợp lệ",ISNUMBER(G28)),1,0)</x:f>
        <x:v>0</x:v>
      </x:c>
      <x:c r="O28" s="40" t="n">
        <x:f>IF(J28="Hợp lệ",1,0)</x:f>
        <x:v>0</x:v>
      </x:c>
    </x:row>
    <x:row r="29" ht="25" customHeight="1">
      <x:c r="A29" s="22" t="n">
        <x:v>46331</x:v>
      </x:c>
      <x:c r="B29" s="23"/>
      <x:c r="C29" s="24"/>
      <x:c r="D29" s="26"/>
      <x:c r="E29" s="24"/>
      <x:c r="F29" s="24"/>
      <x:c r="G29" s="24"/>
      <x:c r="H29" s="21"/>
      <x:c r="I29" s="39"/>
      <x:c r="J29" s="40" t="str">
        <x:f>IF(AND(COUNTA(B29:I29)=0),"",IF(OR(AND(NOT(ISBLANK(B29)),OR(NOT(ISNUMBER(B29)),B29&lt;0,B29&gt;24)),AND(NOT(ISBLANK(C29)),IF(ISNUMBER(C29),OR(C29&lt;1,C29&gt;5,MOD(C29,1)&lt;&gt;0),TRUE))),"Lỗi ngủ/mệt",IF(NOT(ISNUMBER(E29)),"Thiếu tổng phút",IF(OR(E29&lt;0,OR(AND(NOT(ISBLANK(F29)),OR(NOT(ISNUMBER(F29)),F29&lt;0)),AND(NOT(ISBLANK(G29)),OR(NOT(ISNUMBER(G29)),G29&lt;0)))),"Lỗi phút",IF(SUM(F29:G29)&gt;E29,"Nghe+nói vượt tổng",IF(AND(D29&lt;&gt;"Nghỉ",D29&lt;&gt;"Kiệt sức",D29&lt;&gt;"Bình thường",D29&lt;&gt;"Đủ sức"),"Thiếu chế độ",IF(AND(LEN(I29)&gt;0,COUNTIF($I$63:$I$69,I29)=0),"Lỗi mã","Hợp lệ")))))))</x:f>
      </x:c>
      <x:c r="K29" s="40" t="n">
        <x:f>IF(AND(ISNUMBER(B29),B29&gt;=0,B29&lt;=24),1,0)</x:f>
        <x:v>0</x:v>
      </x:c>
      <x:c r="L29" s="40" t="n">
        <x:f>IF(ISNUMBER(C29),IF(AND(C29&gt;=1,C29&lt;=5,MOD(C29,1)=0),1,0),0)</x:f>
        <x:v>0</x:v>
      </x:c>
      <x:c r="M29" s="40" t="n">
        <x:f>IF(AND(J29="Hợp lệ",ISNUMBER(F29)),1,0)</x:f>
        <x:v>0</x:v>
      </x:c>
      <x:c r="N29" s="40" t="n">
        <x:f>IF(AND(J29="Hợp lệ",ISNUMBER(G29)),1,0)</x:f>
        <x:v>0</x:v>
      </x:c>
      <x:c r="O29" s="40" t="n">
        <x:f>IF(J29="Hợp lệ",1,0)</x:f>
        <x:v>0</x:v>
      </x:c>
    </x:row>
    <x:row r="30" ht="25" customHeight="1">
      <x:c r="A30" s="22" t="n">
        <x:v>46332</x:v>
      </x:c>
      <x:c r="B30" s="23"/>
      <x:c r="C30" s="24"/>
      <x:c r="D30" s="26"/>
      <x:c r="E30" s="24"/>
      <x:c r="F30" s="24"/>
      <x:c r="G30" s="24"/>
      <x:c r="H30" s="21"/>
      <x:c r="I30" s="39"/>
      <x:c r="J30" s="40" t="str">
        <x:f>IF(AND(COUNTA(B30:I30)=0),"",IF(OR(AND(NOT(ISBLANK(B30)),OR(NOT(ISNUMBER(B30)),B30&lt;0,B30&gt;24)),AND(NOT(ISBLANK(C30)),IF(ISNUMBER(C30),OR(C30&lt;1,C30&gt;5,MOD(C30,1)&lt;&gt;0),TRUE))),"Lỗi ngủ/mệt",IF(NOT(ISNUMBER(E30)),"Thiếu tổng phút",IF(OR(E30&lt;0,OR(AND(NOT(ISBLANK(F30)),OR(NOT(ISNUMBER(F30)),F30&lt;0)),AND(NOT(ISBLANK(G30)),OR(NOT(ISNUMBER(G30)),G30&lt;0)))),"Lỗi phút",IF(SUM(F30:G30)&gt;E30,"Nghe+nói vượt tổng",IF(AND(D30&lt;&gt;"Nghỉ",D30&lt;&gt;"Kiệt sức",D30&lt;&gt;"Bình thường",D30&lt;&gt;"Đủ sức"),"Thiếu chế độ",IF(AND(LEN(I30)&gt;0,COUNTIF($I$63:$I$69,I30)=0),"Lỗi mã","Hợp lệ")))))))</x:f>
      </x:c>
      <x:c r="K30" s="40" t="n">
        <x:f>IF(AND(ISNUMBER(B30),B30&gt;=0,B30&lt;=24),1,0)</x:f>
        <x:v>0</x:v>
      </x:c>
      <x:c r="L30" s="40" t="n">
        <x:f>IF(ISNUMBER(C30),IF(AND(C30&gt;=1,C30&lt;=5,MOD(C30,1)=0),1,0),0)</x:f>
        <x:v>0</x:v>
      </x:c>
      <x:c r="M30" s="40" t="n">
        <x:f>IF(AND(J30="Hợp lệ",ISNUMBER(F30)),1,0)</x:f>
        <x:v>0</x:v>
      </x:c>
      <x:c r="N30" s="40" t="n">
        <x:f>IF(AND(J30="Hợp lệ",ISNUMBER(G30)),1,0)</x:f>
        <x:v>0</x:v>
      </x:c>
      <x:c r="O30" s="40" t="n">
        <x:f>IF(J30="Hợp lệ",1,0)</x:f>
        <x:v>0</x:v>
      </x:c>
    </x:row>
    <x:row r="31" ht="25" customHeight="1">
      <x:c r="A31" s="22" t="n">
        <x:v>46333</x:v>
      </x:c>
      <x:c r="B31" s="23"/>
      <x:c r="C31" s="24"/>
      <x:c r="D31" s="26"/>
      <x:c r="E31" s="24"/>
      <x:c r="F31" s="24"/>
      <x:c r="G31" s="24"/>
      <x:c r="H31" s="21"/>
      <x:c r="I31" s="39"/>
      <x:c r="J31" s="40" t="str">
        <x:f>IF(AND(COUNTA(B31:I31)=0),"",IF(OR(AND(NOT(ISBLANK(B31)),OR(NOT(ISNUMBER(B31)),B31&lt;0,B31&gt;24)),AND(NOT(ISBLANK(C31)),IF(ISNUMBER(C31),OR(C31&lt;1,C31&gt;5,MOD(C31,1)&lt;&gt;0),TRUE))),"Lỗi ngủ/mệt",IF(NOT(ISNUMBER(E31)),"Thiếu tổng phút",IF(OR(E31&lt;0,OR(AND(NOT(ISBLANK(F31)),OR(NOT(ISNUMBER(F31)),F31&lt;0)),AND(NOT(ISBLANK(G31)),OR(NOT(ISNUMBER(G31)),G31&lt;0)))),"Lỗi phút",IF(SUM(F31:G31)&gt;E31,"Nghe+nói vượt tổng",IF(AND(D31&lt;&gt;"Nghỉ",D31&lt;&gt;"Kiệt sức",D31&lt;&gt;"Bình thường",D31&lt;&gt;"Đủ sức"),"Thiếu chế độ",IF(AND(LEN(I31)&gt;0,COUNTIF($I$63:$I$69,I31)=0),"Lỗi mã","Hợp lệ")))))))</x:f>
      </x:c>
      <x:c r="K31" s="40" t="n">
        <x:f>IF(AND(ISNUMBER(B31),B31&gt;=0,B31&lt;=24),1,0)</x:f>
        <x:v>0</x:v>
      </x:c>
      <x:c r="L31" s="40" t="n">
        <x:f>IF(ISNUMBER(C31),IF(AND(C31&gt;=1,C31&lt;=5,MOD(C31,1)=0),1,0),0)</x:f>
        <x:v>0</x:v>
      </x:c>
      <x:c r="M31" s="40" t="n">
        <x:f>IF(AND(J31="Hợp lệ",ISNUMBER(F31)),1,0)</x:f>
        <x:v>0</x:v>
      </x:c>
      <x:c r="N31" s="40" t="n">
        <x:f>IF(AND(J31="Hợp lệ",ISNUMBER(G31)),1,0)</x:f>
        <x:v>0</x:v>
      </x:c>
      <x:c r="O31" s="40" t="n">
        <x:f>IF(J31="Hợp lệ",1,0)</x:f>
        <x:v>0</x:v>
      </x:c>
    </x:row>
    <x:row r="32" ht="25" customHeight="1">
      <x:c r="A32" s="22" t="n">
        <x:v>46334</x:v>
      </x:c>
      <x:c r="B32" s="23"/>
      <x:c r="C32" s="24"/>
      <x:c r="D32" s="26"/>
      <x:c r="E32" s="24"/>
      <x:c r="F32" s="24"/>
      <x:c r="G32" s="24"/>
      <x:c r="H32" s="21"/>
      <x:c r="I32" s="39"/>
      <x:c r="J32" s="40" t="str">
        <x:f>IF(AND(COUNTA(B32:I32)=0),"",IF(OR(AND(NOT(ISBLANK(B32)),OR(NOT(ISNUMBER(B32)),B32&lt;0,B32&gt;24)),AND(NOT(ISBLANK(C32)),IF(ISNUMBER(C32),OR(C32&lt;1,C32&gt;5,MOD(C32,1)&lt;&gt;0),TRUE))),"Lỗi ngủ/mệt",IF(NOT(ISNUMBER(E32)),"Thiếu tổng phút",IF(OR(E32&lt;0,OR(AND(NOT(ISBLANK(F32)),OR(NOT(ISNUMBER(F32)),F32&lt;0)),AND(NOT(ISBLANK(G32)),OR(NOT(ISNUMBER(G32)),G32&lt;0)))),"Lỗi phút",IF(SUM(F32:G32)&gt;E32,"Nghe+nói vượt tổng",IF(AND(D32&lt;&gt;"Nghỉ",D32&lt;&gt;"Kiệt sức",D32&lt;&gt;"Bình thường",D32&lt;&gt;"Đủ sức"),"Thiếu chế độ",IF(AND(LEN(I32)&gt;0,COUNTIF($I$63:$I$69,I32)=0),"Lỗi mã","Hợp lệ")))))))</x:f>
      </x:c>
      <x:c r="K32" s="40" t="n">
        <x:f>IF(AND(ISNUMBER(B32),B32&gt;=0,B32&lt;=24),1,0)</x:f>
        <x:v>0</x:v>
      </x:c>
      <x:c r="L32" s="40" t="n">
        <x:f>IF(ISNUMBER(C32),IF(AND(C32&gt;=1,C32&lt;=5,MOD(C32,1)=0),1,0),0)</x:f>
        <x:v>0</x:v>
      </x:c>
      <x:c r="M32" s="40" t="n">
        <x:f>IF(AND(J32="Hợp lệ",ISNUMBER(F32)),1,0)</x:f>
        <x:v>0</x:v>
      </x:c>
      <x:c r="N32" s="40" t="n">
        <x:f>IF(AND(J32="Hợp lệ",ISNUMBER(G32)),1,0)</x:f>
        <x:v>0</x:v>
      </x:c>
      <x:c r="O32" s="40" t="n">
        <x:f>IF(J32="Hợp lệ",1,0)</x:f>
        <x:v>0</x:v>
      </x:c>
    </x:row>
    <x:row r="33" ht="25" customHeight="1">
      <x:c r="A33" s="22" t="n">
        <x:v>46335</x:v>
      </x:c>
      <x:c r="B33" s="23"/>
      <x:c r="C33" s="24"/>
      <x:c r="D33" s="26"/>
      <x:c r="E33" s="24"/>
      <x:c r="F33" s="24"/>
      <x:c r="G33" s="24"/>
      <x:c r="H33" s="21"/>
      <x:c r="I33" s="39"/>
      <x:c r="J33" s="40" t="str">
        <x:f>IF(AND(COUNTA(B33:I33)=0),"",IF(OR(AND(NOT(ISBLANK(B33)),OR(NOT(ISNUMBER(B33)),B33&lt;0,B33&gt;24)),AND(NOT(ISBLANK(C33)),IF(ISNUMBER(C33),OR(C33&lt;1,C33&gt;5,MOD(C33,1)&lt;&gt;0),TRUE))),"Lỗi ngủ/mệt",IF(NOT(ISNUMBER(E33)),"Thiếu tổng phút",IF(OR(E33&lt;0,OR(AND(NOT(ISBLANK(F33)),OR(NOT(ISNUMBER(F33)),F33&lt;0)),AND(NOT(ISBLANK(G33)),OR(NOT(ISNUMBER(G33)),G33&lt;0)))),"Lỗi phút",IF(SUM(F33:G33)&gt;E33,"Nghe+nói vượt tổng",IF(AND(D33&lt;&gt;"Nghỉ",D33&lt;&gt;"Kiệt sức",D33&lt;&gt;"Bình thường",D33&lt;&gt;"Đủ sức"),"Thiếu chế độ",IF(AND(LEN(I33)&gt;0,COUNTIF($I$63:$I$69,I33)=0),"Lỗi mã","Hợp lệ")))))))</x:f>
      </x:c>
      <x:c r="K33" s="40" t="n">
        <x:f>IF(AND(ISNUMBER(B33),B33&gt;=0,B33&lt;=24),1,0)</x:f>
        <x:v>0</x:v>
      </x:c>
      <x:c r="L33" s="40" t="n">
        <x:f>IF(ISNUMBER(C33),IF(AND(C33&gt;=1,C33&lt;=5,MOD(C33,1)=0),1,0),0)</x:f>
        <x:v>0</x:v>
      </x:c>
      <x:c r="M33" s="40" t="n">
        <x:f>IF(AND(J33="Hợp lệ",ISNUMBER(F33)),1,0)</x:f>
        <x:v>0</x:v>
      </x:c>
      <x:c r="N33" s="40" t="n">
        <x:f>IF(AND(J33="Hợp lệ",ISNUMBER(G33)),1,0)</x:f>
        <x:v>0</x:v>
      </x:c>
      <x:c r="O33" s="40" t="n">
        <x:f>IF(J33="Hợp lệ",1,0)</x:f>
        <x:v>0</x:v>
      </x:c>
    </x:row>
    <x:row r="34" ht="25" customHeight="1">
      <x:c r="A34" s="22" t="n">
        <x:v>46336</x:v>
      </x:c>
      <x:c r="B34" s="23"/>
      <x:c r="C34" s="24"/>
      <x:c r="D34" s="26"/>
      <x:c r="E34" s="24"/>
      <x:c r="F34" s="24"/>
      <x:c r="G34" s="24"/>
      <x:c r="H34" s="21"/>
      <x:c r="I34" s="39"/>
      <x:c r="J34" s="40" t="str">
        <x:f>IF(AND(COUNTA(B34:I34)=0),"",IF(OR(AND(NOT(ISBLANK(B34)),OR(NOT(ISNUMBER(B34)),B34&lt;0,B34&gt;24)),AND(NOT(ISBLANK(C34)),IF(ISNUMBER(C34),OR(C34&lt;1,C34&gt;5,MOD(C34,1)&lt;&gt;0),TRUE))),"Lỗi ngủ/mệt",IF(NOT(ISNUMBER(E34)),"Thiếu tổng phút",IF(OR(E34&lt;0,OR(AND(NOT(ISBLANK(F34)),OR(NOT(ISNUMBER(F34)),F34&lt;0)),AND(NOT(ISBLANK(G34)),OR(NOT(ISNUMBER(G34)),G34&lt;0)))),"Lỗi phút",IF(SUM(F34:G34)&gt;E34,"Nghe+nói vượt tổng",IF(AND(D34&lt;&gt;"Nghỉ",D34&lt;&gt;"Kiệt sức",D34&lt;&gt;"Bình thường",D34&lt;&gt;"Đủ sức"),"Thiếu chế độ",IF(AND(LEN(I34)&gt;0,COUNTIF($I$63:$I$69,I34)=0),"Lỗi mã","Hợp lệ")))))))</x:f>
      </x:c>
      <x:c r="K34" s="40" t="n">
        <x:f>IF(AND(ISNUMBER(B34),B34&gt;=0,B34&lt;=24),1,0)</x:f>
        <x:v>0</x:v>
      </x:c>
      <x:c r="L34" s="40" t="n">
        <x:f>IF(ISNUMBER(C34),IF(AND(C34&gt;=1,C34&lt;=5,MOD(C34,1)=0),1,0),0)</x:f>
        <x:v>0</x:v>
      </x:c>
      <x:c r="M34" s="40" t="n">
        <x:f>IF(AND(J34="Hợp lệ",ISNUMBER(F34)),1,0)</x:f>
        <x:v>0</x:v>
      </x:c>
      <x:c r="N34" s="40" t="n">
        <x:f>IF(AND(J34="Hợp lệ",ISNUMBER(G34)),1,0)</x:f>
        <x:v>0</x:v>
      </x:c>
      <x:c r="O34" s="40" t="n">
        <x:f>IF(J34="Hợp lệ",1,0)</x:f>
        <x:v>0</x:v>
      </x:c>
    </x:row>
    <x:row r="35" ht="25" customHeight="1">
      <x:c r="A35" s="22" t="n">
        <x:v>46337</x:v>
      </x:c>
      <x:c r="B35" s="23"/>
      <x:c r="C35" s="24"/>
      <x:c r="D35" s="26"/>
      <x:c r="E35" s="24"/>
      <x:c r="F35" s="24"/>
      <x:c r="G35" s="24"/>
      <x:c r="H35" s="21"/>
      <x:c r="I35" s="39"/>
      <x:c r="J35" s="40" t="str">
        <x:f>IF(AND(COUNTA(B35:I35)=0),"",IF(OR(AND(NOT(ISBLANK(B35)),OR(NOT(ISNUMBER(B35)),B35&lt;0,B35&gt;24)),AND(NOT(ISBLANK(C35)),IF(ISNUMBER(C35),OR(C35&lt;1,C35&gt;5,MOD(C35,1)&lt;&gt;0),TRUE))),"Lỗi ngủ/mệt",IF(NOT(ISNUMBER(E35)),"Thiếu tổng phút",IF(OR(E35&lt;0,OR(AND(NOT(ISBLANK(F35)),OR(NOT(ISNUMBER(F35)),F35&lt;0)),AND(NOT(ISBLANK(G35)),OR(NOT(ISNUMBER(G35)),G35&lt;0)))),"Lỗi phút",IF(SUM(F35:G35)&gt;E35,"Nghe+nói vượt tổng",IF(AND(D35&lt;&gt;"Nghỉ",D35&lt;&gt;"Kiệt sức",D35&lt;&gt;"Bình thường",D35&lt;&gt;"Đủ sức"),"Thiếu chế độ",IF(AND(LEN(I35)&gt;0,COUNTIF($I$63:$I$69,I35)=0),"Lỗi mã","Hợp lệ")))))))</x:f>
      </x:c>
      <x:c r="K35" s="40" t="n">
        <x:f>IF(AND(ISNUMBER(B35),B35&gt;=0,B35&lt;=24),1,0)</x:f>
        <x:v>0</x:v>
      </x:c>
      <x:c r="L35" s="40" t="n">
        <x:f>IF(ISNUMBER(C35),IF(AND(C35&gt;=1,C35&lt;=5,MOD(C35,1)=0),1,0),0)</x:f>
        <x:v>0</x:v>
      </x:c>
      <x:c r="M35" s="40" t="n">
        <x:f>IF(AND(J35="Hợp lệ",ISNUMBER(F35)),1,0)</x:f>
        <x:v>0</x:v>
      </x:c>
      <x:c r="N35" s="40" t="n">
        <x:f>IF(AND(J35="Hợp lệ",ISNUMBER(G35)),1,0)</x:f>
        <x:v>0</x:v>
      </x:c>
      <x:c r="O35" s="40" t="n">
        <x:f>IF(J35="Hợp lệ",1,0)</x:f>
        <x:v>0</x:v>
      </x:c>
    </x:row>
    <x:row r="36" ht="25" customHeight="1">
      <x:c r="A36" s="22" t="n">
        <x:v>46338</x:v>
      </x:c>
      <x:c r="B36" s="23"/>
      <x:c r="C36" s="24"/>
      <x:c r="D36" s="26"/>
      <x:c r="E36" s="24"/>
      <x:c r="F36" s="24"/>
      <x:c r="G36" s="24"/>
      <x:c r="H36" s="21"/>
      <x:c r="I36" s="39"/>
      <x:c r="J36" s="40" t="str">
        <x:f>IF(AND(COUNTA(B36:I36)=0),"",IF(OR(AND(NOT(ISBLANK(B36)),OR(NOT(ISNUMBER(B36)),B36&lt;0,B36&gt;24)),AND(NOT(ISBLANK(C36)),IF(ISNUMBER(C36),OR(C36&lt;1,C36&gt;5,MOD(C36,1)&lt;&gt;0),TRUE))),"Lỗi ngủ/mệt",IF(NOT(ISNUMBER(E36)),"Thiếu tổng phút",IF(OR(E36&lt;0,OR(AND(NOT(ISBLANK(F36)),OR(NOT(ISNUMBER(F36)),F36&lt;0)),AND(NOT(ISBLANK(G36)),OR(NOT(ISNUMBER(G36)),G36&lt;0)))),"Lỗi phút",IF(SUM(F36:G36)&gt;E36,"Nghe+nói vượt tổng",IF(AND(D36&lt;&gt;"Nghỉ",D36&lt;&gt;"Kiệt sức",D36&lt;&gt;"Bình thường",D36&lt;&gt;"Đủ sức"),"Thiếu chế độ",IF(AND(LEN(I36)&gt;0,COUNTIF($I$63:$I$69,I36)=0),"Lỗi mã","Hợp lệ")))))))</x:f>
      </x:c>
      <x:c r="K36" s="40" t="n">
        <x:f>IF(AND(ISNUMBER(B36),B36&gt;=0,B36&lt;=24),1,0)</x:f>
        <x:v>0</x:v>
      </x:c>
      <x:c r="L36" s="40" t="n">
        <x:f>IF(ISNUMBER(C36),IF(AND(C36&gt;=1,C36&lt;=5,MOD(C36,1)=0),1,0),0)</x:f>
        <x:v>0</x:v>
      </x:c>
      <x:c r="M36" s="40" t="n">
        <x:f>IF(AND(J36="Hợp lệ",ISNUMBER(F36)),1,0)</x:f>
        <x:v>0</x:v>
      </x:c>
      <x:c r="N36" s="40" t="n">
        <x:f>IF(AND(J36="Hợp lệ",ISNUMBER(G36)),1,0)</x:f>
        <x:v>0</x:v>
      </x:c>
      <x:c r="O36" s="40" t="n">
        <x:f>IF(J36="Hợp lệ",1,0)</x:f>
        <x:v>0</x:v>
      </x:c>
    </x:row>
    <x:row r="37" ht="25" customHeight="1">
      <x:c r="A37" s="22" t="n">
        <x:v>46339</x:v>
      </x:c>
      <x:c r="B37" s="23"/>
      <x:c r="C37" s="24"/>
      <x:c r="D37" s="26"/>
      <x:c r="E37" s="24"/>
      <x:c r="F37" s="24"/>
      <x:c r="G37" s="24"/>
      <x:c r="H37" s="21"/>
      <x:c r="I37" s="39"/>
      <x:c r="J37" s="40" t="str">
        <x:f>IF(AND(COUNTA(B37:I37)=0),"",IF(OR(AND(NOT(ISBLANK(B37)),OR(NOT(ISNUMBER(B37)),B37&lt;0,B37&gt;24)),AND(NOT(ISBLANK(C37)),IF(ISNUMBER(C37),OR(C37&lt;1,C37&gt;5,MOD(C37,1)&lt;&gt;0),TRUE))),"Lỗi ngủ/mệt",IF(NOT(ISNUMBER(E37)),"Thiếu tổng phút",IF(OR(E37&lt;0,OR(AND(NOT(ISBLANK(F37)),OR(NOT(ISNUMBER(F37)),F37&lt;0)),AND(NOT(ISBLANK(G37)),OR(NOT(ISNUMBER(G37)),G37&lt;0)))),"Lỗi phút",IF(SUM(F37:G37)&gt;E37,"Nghe+nói vượt tổng",IF(AND(D37&lt;&gt;"Nghỉ",D37&lt;&gt;"Kiệt sức",D37&lt;&gt;"Bình thường",D37&lt;&gt;"Đủ sức"),"Thiếu chế độ",IF(AND(LEN(I37)&gt;0,COUNTIF($I$63:$I$69,I37)=0),"Lỗi mã","Hợp lệ")))))))</x:f>
      </x:c>
      <x:c r="K37" s="40" t="n">
        <x:f>IF(AND(ISNUMBER(B37),B37&gt;=0,B37&lt;=24),1,0)</x:f>
        <x:v>0</x:v>
      </x:c>
      <x:c r="L37" s="40" t="n">
        <x:f>IF(ISNUMBER(C37),IF(AND(C37&gt;=1,C37&lt;=5,MOD(C37,1)=0),1,0),0)</x:f>
        <x:v>0</x:v>
      </x:c>
      <x:c r="M37" s="40" t="n">
        <x:f>IF(AND(J37="Hợp lệ",ISNUMBER(F37)),1,0)</x:f>
        <x:v>0</x:v>
      </x:c>
      <x:c r="N37" s="40" t="n">
        <x:f>IF(AND(J37="Hợp lệ",ISNUMBER(G37)),1,0)</x:f>
        <x:v>0</x:v>
      </x:c>
      <x:c r="O37" s="40" t="n">
        <x:f>IF(J37="Hợp lệ",1,0)</x:f>
        <x:v>0</x:v>
      </x:c>
    </x:row>
    <x:row r="38" ht="25" customHeight="1">
      <x:c r="A38" s="22" t="n">
        <x:v>46340</x:v>
      </x:c>
      <x:c r="B38" s="23"/>
      <x:c r="C38" s="24"/>
      <x:c r="D38" s="26"/>
      <x:c r="E38" s="24"/>
      <x:c r="F38" s="24"/>
      <x:c r="G38" s="24"/>
      <x:c r="H38" s="21"/>
      <x:c r="I38" s="39"/>
      <x:c r="J38" s="40" t="str">
        <x:f>IF(AND(COUNTA(B38:I38)=0),"",IF(OR(AND(NOT(ISBLANK(B38)),OR(NOT(ISNUMBER(B38)),B38&lt;0,B38&gt;24)),AND(NOT(ISBLANK(C38)),IF(ISNUMBER(C38),OR(C38&lt;1,C38&gt;5,MOD(C38,1)&lt;&gt;0),TRUE))),"Lỗi ngủ/mệt",IF(NOT(ISNUMBER(E38)),"Thiếu tổng phút",IF(OR(E38&lt;0,OR(AND(NOT(ISBLANK(F38)),OR(NOT(ISNUMBER(F38)),F38&lt;0)),AND(NOT(ISBLANK(G38)),OR(NOT(ISNUMBER(G38)),G38&lt;0)))),"Lỗi phút",IF(SUM(F38:G38)&gt;E38,"Nghe+nói vượt tổng",IF(AND(D38&lt;&gt;"Nghỉ",D38&lt;&gt;"Kiệt sức",D38&lt;&gt;"Bình thường",D38&lt;&gt;"Đủ sức"),"Thiếu chế độ",IF(AND(LEN(I38)&gt;0,COUNTIF($I$63:$I$69,I38)=0),"Lỗi mã","Hợp lệ")))))))</x:f>
      </x:c>
      <x:c r="K38" s="40" t="n">
        <x:f>IF(AND(ISNUMBER(B38),B38&gt;=0,B38&lt;=24),1,0)</x:f>
        <x:v>0</x:v>
      </x:c>
      <x:c r="L38" s="40" t="n">
        <x:f>IF(ISNUMBER(C38),IF(AND(C38&gt;=1,C38&lt;=5,MOD(C38,1)=0),1,0),0)</x:f>
        <x:v>0</x:v>
      </x:c>
      <x:c r="M38" s="40" t="n">
        <x:f>IF(AND(J38="Hợp lệ",ISNUMBER(F38)),1,0)</x:f>
        <x:v>0</x:v>
      </x:c>
      <x:c r="N38" s="40" t="n">
        <x:f>IF(AND(J38="Hợp lệ",ISNUMBER(G38)),1,0)</x:f>
        <x:v>0</x:v>
      </x:c>
      <x:c r="O38" s="40" t="n">
        <x:f>IF(J38="Hợp lệ",1,0)</x:f>
        <x:v>0</x:v>
      </x:c>
    </x:row>
    <x:row r="39" ht="25" customHeight="1">
      <x:c r="A39" s="22" t="n">
        <x:v>46341</x:v>
      </x:c>
      <x:c r="B39" s="23"/>
      <x:c r="C39" s="24"/>
      <x:c r="D39" s="26"/>
      <x:c r="E39" s="24"/>
      <x:c r="F39" s="24"/>
      <x:c r="G39" s="24"/>
      <x:c r="H39" s="21"/>
      <x:c r="I39" s="39"/>
      <x:c r="J39" s="40" t="str">
        <x:f>IF(AND(COUNTA(B39:I39)=0),"",IF(OR(AND(NOT(ISBLANK(B39)),OR(NOT(ISNUMBER(B39)),B39&lt;0,B39&gt;24)),AND(NOT(ISBLANK(C39)),IF(ISNUMBER(C39),OR(C39&lt;1,C39&gt;5,MOD(C39,1)&lt;&gt;0),TRUE))),"Lỗi ngủ/mệt",IF(NOT(ISNUMBER(E39)),"Thiếu tổng phút",IF(OR(E39&lt;0,OR(AND(NOT(ISBLANK(F39)),OR(NOT(ISNUMBER(F39)),F39&lt;0)),AND(NOT(ISBLANK(G39)),OR(NOT(ISNUMBER(G39)),G39&lt;0)))),"Lỗi phút",IF(SUM(F39:G39)&gt;E39,"Nghe+nói vượt tổng",IF(AND(D39&lt;&gt;"Nghỉ",D39&lt;&gt;"Kiệt sức",D39&lt;&gt;"Bình thường",D39&lt;&gt;"Đủ sức"),"Thiếu chế độ",IF(AND(LEN(I39)&gt;0,COUNTIF($I$63:$I$69,I39)=0),"Lỗi mã","Hợp lệ")))))))</x:f>
      </x:c>
      <x:c r="K39" s="40" t="n">
        <x:f>IF(AND(ISNUMBER(B39),B39&gt;=0,B39&lt;=24),1,0)</x:f>
        <x:v>0</x:v>
      </x:c>
      <x:c r="L39" s="40" t="n">
        <x:f>IF(ISNUMBER(C39),IF(AND(C39&gt;=1,C39&lt;=5,MOD(C39,1)=0),1,0),0)</x:f>
        <x:v>0</x:v>
      </x:c>
      <x:c r="M39" s="40" t="n">
        <x:f>IF(AND(J39="Hợp lệ",ISNUMBER(F39)),1,0)</x:f>
        <x:v>0</x:v>
      </x:c>
      <x:c r="N39" s="40" t="n">
        <x:f>IF(AND(J39="Hợp lệ",ISNUMBER(G39)),1,0)</x:f>
        <x:v>0</x:v>
      </x:c>
      <x:c r="O39" s="40" t="n">
        <x:f>IF(J39="Hợp lệ",1,0)</x:f>
        <x:v>0</x:v>
      </x:c>
    </x:row>
    <x:row r="40" ht="25" customHeight="1">
      <x:c r="A40" s="22" t="n">
        <x:v>46342</x:v>
      </x:c>
      <x:c r="B40" s="23"/>
      <x:c r="C40" s="24"/>
      <x:c r="D40" s="26"/>
      <x:c r="E40" s="24"/>
      <x:c r="F40" s="24"/>
      <x:c r="G40" s="24"/>
      <x:c r="H40" s="21"/>
      <x:c r="I40" s="39"/>
      <x:c r="J40" s="40" t="str">
        <x:f>IF(AND(COUNTA(B40:I40)=0),"",IF(OR(AND(NOT(ISBLANK(B40)),OR(NOT(ISNUMBER(B40)),B40&lt;0,B40&gt;24)),AND(NOT(ISBLANK(C40)),IF(ISNUMBER(C40),OR(C40&lt;1,C40&gt;5,MOD(C40,1)&lt;&gt;0),TRUE))),"Lỗi ngủ/mệt",IF(NOT(ISNUMBER(E40)),"Thiếu tổng phút",IF(OR(E40&lt;0,OR(AND(NOT(ISBLANK(F40)),OR(NOT(ISNUMBER(F40)),F40&lt;0)),AND(NOT(ISBLANK(G40)),OR(NOT(ISNUMBER(G40)),G40&lt;0)))),"Lỗi phút",IF(SUM(F40:G40)&gt;E40,"Nghe+nói vượt tổng",IF(AND(D40&lt;&gt;"Nghỉ",D40&lt;&gt;"Kiệt sức",D40&lt;&gt;"Bình thường",D40&lt;&gt;"Đủ sức"),"Thiếu chế độ",IF(AND(LEN(I40)&gt;0,COUNTIF($I$63:$I$69,I40)=0),"Lỗi mã","Hợp lệ")))))))</x:f>
      </x:c>
      <x:c r="K40" s="40" t="n">
        <x:f>IF(AND(ISNUMBER(B40),B40&gt;=0,B40&lt;=24),1,0)</x:f>
        <x:v>0</x:v>
      </x:c>
      <x:c r="L40" s="40" t="n">
        <x:f>IF(ISNUMBER(C40),IF(AND(C40&gt;=1,C40&lt;=5,MOD(C40,1)=0),1,0),0)</x:f>
        <x:v>0</x:v>
      </x:c>
      <x:c r="M40" s="40" t="n">
        <x:f>IF(AND(J40="Hợp lệ",ISNUMBER(F40)),1,0)</x:f>
        <x:v>0</x:v>
      </x:c>
      <x:c r="N40" s="40" t="n">
        <x:f>IF(AND(J40="Hợp lệ",ISNUMBER(G40)),1,0)</x:f>
        <x:v>0</x:v>
      </x:c>
      <x:c r="O40" s="40" t="n">
        <x:f>IF(J40="Hợp lệ",1,0)</x:f>
        <x:v>0</x:v>
      </x:c>
    </x:row>
    <x:row r="41" ht="25" customHeight="1">
      <x:c r="A41" s="22" t="n">
        <x:v>46343</x:v>
      </x:c>
      <x:c r="B41" s="23"/>
      <x:c r="C41" s="24"/>
      <x:c r="D41" s="26"/>
      <x:c r="E41" s="24"/>
      <x:c r="F41" s="24"/>
      <x:c r="G41" s="24"/>
      <x:c r="H41" s="21"/>
      <x:c r="I41" s="39"/>
      <x:c r="J41" s="40" t="str">
        <x:f>IF(AND(COUNTA(B41:I41)=0),"",IF(OR(AND(NOT(ISBLANK(B41)),OR(NOT(ISNUMBER(B41)),B41&lt;0,B41&gt;24)),AND(NOT(ISBLANK(C41)),IF(ISNUMBER(C41),OR(C41&lt;1,C41&gt;5,MOD(C41,1)&lt;&gt;0),TRUE))),"Lỗi ngủ/mệt",IF(NOT(ISNUMBER(E41)),"Thiếu tổng phút",IF(OR(E41&lt;0,OR(AND(NOT(ISBLANK(F41)),OR(NOT(ISNUMBER(F41)),F41&lt;0)),AND(NOT(ISBLANK(G41)),OR(NOT(ISNUMBER(G41)),G41&lt;0)))),"Lỗi phút",IF(SUM(F41:G41)&gt;E41,"Nghe+nói vượt tổng",IF(AND(D41&lt;&gt;"Nghỉ",D41&lt;&gt;"Kiệt sức",D41&lt;&gt;"Bình thường",D41&lt;&gt;"Đủ sức"),"Thiếu chế độ",IF(AND(LEN(I41)&gt;0,COUNTIF($I$63:$I$69,I41)=0),"Lỗi mã","Hợp lệ")))))))</x:f>
      </x:c>
      <x:c r="K41" s="40" t="n">
        <x:f>IF(AND(ISNUMBER(B41),B41&gt;=0,B41&lt;=24),1,0)</x:f>
        <x:v>0</x:v>
      </x:c>
      <x:c r="L41" s="40" t="n">
        <x:f>IF(ISNUMBER(C41),IF(AND(C41&gt;=1,C41&lt;=5,MOD(C41,1)=0),1,0),0)</x:f>
        <x:v>0</x:v>
      </x:c>
      <x:c r="M41" s="40" t="n">
        <x:f>IF(AND(J41="Hợp lệ",ISNUMBER(F41)),1,0)</x:f>
        <x:v>0</x:v>
      </x:c>
      <x:c r="N41" s="40" t="n">
        <x:f>IF(AND(J41="Hợp lệ",ISNUMBER(G41)),1,0)</x:f>
        <x:v>0</x:v>
      </x:c>
      <x:c r="O41" s="40" t="n">
        <x:f>IF(J41="Hợp lệ",1,0)</x:f>
        <x:v>0</x:v>
      </x:c>
    </x:row>
    <x:row r="42" ht="25" customHeight="1">
      <x:c r="A42" s="22" t="n">
        <x:v>46344</x:v>
      </x:c>
      <x:c r="B42" s="23"/>
      <x:c r="C42" s="24"/>
      <x:c r="D42" s="26"/>
      <x:c r="E42" s="24"/>
      <x:c r="F42" s="24"/>
      <x:c r="G42" s="24"/>
      <x:c r="H42" s="21"/>
      <x:c r="I42" s="39"/>
      <x:c r="J42" s="40" t="str">
        <x:f>IF(AND(COUNTA(B42:I42)=0),"",IF(OR(AND(NOT(ISBLANK(B42)),OR(NOT(ISNUMBER(B42)),B42&lt;0,B42&gt;24)),AND(NOT(ISBLANK(C42)),IF(ISNUMBER(C42),OR(C42&lt;1,C42&gt;5,MOD(C42,1)&lt;&gt;0),TRUE))),"Lỗi ngủ/mệt",IF(NOT(ISNUMBER(E42)),"Thiếu tổng phút",IF(OR(E42&lt;0,OR(AND(NOT(ISBLANK(F42)),OR(NOT(ISNUMBER(F42)),F42&lt;0)),AND(NOT(ISBLANK(G42)),OR(NOT(ISNUMBER(G42)),G42&lt;0)))),"Lỗi phút",IF(SUM(F42:G42)&gt;E42,"Nghe+nói vượt tổng",IF(AND(D42&lt;&gt;"Nghỉ",D42&lt;&gt;"Kiệt sức",D42&lt;&gt;"Bình thường",D42&lt;&gt;"Đủ sức"),"Thiếu chế độ",IF(AND(LEN(I42)&gt;0,COUNTIF($I$63:$I$69,I42)=0),"Lỗi mã","Hợp lệ")))))))</x:f>
      </x:c>
      <x:c r="K42" s="40" t="n">
        <x:f>IF(AND(ISNUMBER(B42),B42&gt;=0,B42&lt;=24),1,0)</x:f>
        <x:v>0</x:v>
      </x:c>
      <x:c r="L42" s="40" t="n">
        <x:f>IF(ISNUMBER(C42),IF(AND(C42&gt;=1,C42&lt;=5,MOD(C42,1)=0),1,0),0)</x:f>
        <x:v>0</x:v>
      </x:c>
      <x:c r="M42" s="40" t="n">
        <x:f>IF(AND(J42="Hợp lệ",ISNUMBER(F42)),1,0)</x:f>
        <x:v>0</x:v>
      </x:c>
      <x:c r="N42" s="40" t="n">
        <x:f>IF(AND(J42="Hợp lệ",ISNUMBER(G42)),1,0)</x:f>
        <x:v>0</x:v>
      </x:c>
      <x:c r="O42" s="40" t="n">
        <x:f>IF(J42="Hợp lệ",1,0)</x:f>
        <x:v>0</x:v>
      </x:c>
    </x:row>
    <x:row r="43" ht="25" customHeight="1">
      <x:c r="A43" s="22" t="n">
        <x:v>46345</x:v>
      </x:c>
      <x:c r="B43" s="23"/>
      <x:c r="C43" s="24"/>
      <x:c r="D43" s="26"/>
      <x:c r="E43" s="24"/>
      <x:c r="F43" s="24"/>
      <x:c r="G43" s="24"/>
      <x:c r="H43" s="21"/>
      <x:c r="I43" s="39"/>
      <x:c r="J43" s="40" t="str">
        <x:f>IF(AND(COUNTA(B43:I43)=0),"",IF(OR(AND(NOT(ISBLANK(B43)),OR(NOT(ISNUMBER(B43)),B43&lt;0,B43&gt;24)),AND(NOT(ISBLANK(C43)),IF(ISNUMBER(C43),OR(C43&lt;1,C43&gt;5,MOD(C43,1)&lt;&gt;0),TRUE))),"Lỗi ngủ/mệt",IF(NOT(ISNUMBER(E43)),"Thiếu tổng phút",IF(OR(E43&lt;0,OR(AND(NOT(ISBLANK(F43)),OR(NOT(ISNUMBER(F43)),F43&lt;0)),AND(NOT(ISBLANK(G43)),OR(NOT(ISNUMBER(G43)),G43&lt;0)))),"Lỗi phút",IF(SUM(F43:G43)&gt;E43,"Nghe+nói vượt tổng",IF(AND(D43&lt;&gt;"Nghỉ",D43&lt;&gt;"Kiệt sức",D43&lt;&gt;"Bình thường",D43&lt;&gt;"Đủ sức"),"Thiếu chế độ",IF(AND(LEN(I43)&gt;0,COUNTIF($I$63:$I$69,I43)=0),"Lỗi mã","Hợp lệ")))))))</x:f>
      </x:c>
      <x:c r="K43" s="40" t="n">
        <x:f>IF(AND(ISNUMBER(B43),B43&gt;=0,B43&lt;=24),1,0)</x:f>
        <x:v>0</x:v>
      </x:c>
      <x:c r="L43" s="40" t="n">
        <x:f>IF(ISNUMBER(C43),IF(AND(C43&gt;=1,C43&lt;=5,MOD(C43,1)=0),1,0),0)</x:f>
        <x:v>0</x:v>
      </x:c>
      <x:c r="M43" s="40" t="n">
        <x:f>IF(AND(J43="Hợp lệ",ISNUMBER(F43)),1,0)</x:f>
        <x:v>0</x:v>
      </x:c>
      <x:c r="N43" s="40" t="n">
        <x:f>IF(AND(J43="Hợp lệ",ISNUMBER(G43)),1,0)</x:f>
        <x:v>0</x:v>
      </x:c>
      <x:c r="O43" s="40" t="n">
        <x:f>IF(J43="Hợp lệ",1,0)</x:f>
        <x:v>0</x:v>
      </x:c>
    </x:row>
    <x:row r="44" ht="25" customHeight="1">
      <x:c r="A44" s="22" t="n">
        <x:v>46346</x:v>
      </x:c>
      <x:c r="B44" s="23"/>
      <x:c r="C44" s="24"/>
      <x:c r="D44" s="26"/>
      <x:c r="E44" s="24"/>
      <x:c r="F44" s="24"/>
      <x:c r="G44" s="24"/>
      <x:c r="H44" s="21"/>
      <x:c r="I44" s="39"/>
      <x:c r="J44" s="40" t="str">
        <x:f>IF(AND(COUNTA(B44:I44)=0),"",IF(OR(AND(NOT(ISBLANK(B44)),OR(NOT(ISNUMBER(B44)),B44&lt;0,B44&gt;24)),AND(NOT(ISBLANK(C44)),IF(ISNUMBER(C44),OR(C44&lt;1,C44&gt;5,MOD(C44,1)&lt;&gt;0),TRUE))),"Lỗi ngủ/mệt",IF(NOT(ISNUMBER(E44)),"Thiếu tổng phút",IF(OR(E44&lt;0,OR(AND(NOT(ISBLANK(F44)),OR(NOT(ISNUMBER(F44)),F44&lt;0)),AND(NOT(ISBLANK(G44)),OR(NOT(ISNUMBER(G44)),G44&lt;0)))),"Lỗi phút",IF(SUM(F44:G44)&gt;E44,"Nghe+nói vượt tổng",IF(AND(D44&lt;&gt;"Nghỉ",D44&lt;&gt;"Kiệt sức",D44&lt;&gt;"Bình thường",D44&lt;&gt;"Đủ sức"),"Thiếu chế độ",IF(AND(LEN(I44)&gt;0,COUNTIF($I$63:$I$69,I44)=0),"Lỗi mã","Hợp lệ")))))))</x:f>
      </x:c>
      <x:c r="K44" s="40" t="n">
        <x:f>IF(AND(ISNUMBER(B44),B44&gt;=0,B44&lt;=24),1,0)</x:f>
        <x:v>0</x:v>
      </x:c>
      <x:c r="L44" s="40" t="n">
        <x:f>IF(ISNUMBER(C44),IF(AND(C44&gt;=1,C44&lt;=5,MOD(C44,1)=0),1,0),0)</x:f>
        <x:v>0</x:v>
      </x:c>
      <x:c r="M44" s="40" t="n">
        <x:f>IF(AND(J44="Hợp lệ",ISNUMBER(F44)),1,0)</x:f>
        <x:v>0</x:v>
      </x:c>
      <x:c r="N44" s="40" t="n">
        <x:f>IF(AND(J44="Hợp lệ",ISNUMBER(G44)),1,0)</x:f>
        <x:v>0</x:v>
      </x:c>
      <x:c r="O44" s="40" t="n">
        <x:f>IF(J44="Hợp lệ",1,0)</x:f>
        <x:v>0</x:v>
      </x:c>
    </x:row>
    <x:row r="45" ht="25" customHeight="1">
      <x:c r="A45" s="22" t="n">
        <x:v>46347</x:v>
      </x:c>
      <x:c r="B45" s="23"/>
      <x:c r="C45" s="24"/>
      <x:c r="D45" s="26"/>
      <x:c r="E45" s="24"/>
      <x:c r="F45" s="24"/>
      <x:c r="G45" s="24"/>
      <x:c r="H45" s="21"/>
      <x:c r="I45" s="39"/>
      <x:c r="J45" s="40" t="str">
        <x:f>IF(AND(COUNTA(B45:I45)=0),"",IF(OR(AND(NOT(ISBLANK(B45)),OR(NOT(ISNUMBER(B45)),B45&lt;0,B45&gt;24)),AND(NOT(ISBLANK(C45)),IF(ISNUMBER(C45),OR(C45&lt;1,C45&gt;5,MOD(C45,1)&lt;&gt;0),TRUE))),"Lỗi ngủ/mệt",IF(NOT(ISNUMBER(E45)),"Thiếu tổng phút",IF(OR(E45&lt;0,OR(AND(NOT(ISBLANK(F45)),OR(NOT(ISNUMBER(F45)),F45&lt;0)),AND(NOT(ISBLANK(G45)),OR(NOT(ISNUMBER(G45)),G45&lt;0)))),"Lỗi phút",IF(SUM(F45:G45)&gt;E45,"Nghe+nói vượt tổng",IF(AND(D45&lt;&gt;"Nghỉ",D45&lt;&gt;"Kiệt sức",D45&lt;&gt;"Bình thường",D45&lt;&gt;"Đủ sức"),"Thiếu chế độ",IF(AND(LEN(I45)&gt;0,COUNTIF($I$63:$I$69,I45)=0),"Lỗi mã","Hợp lệ")))))))</x:f>
      </x:c>
      <x:c r="K45" s="40" t="n">
        <x:f>IF(AND(ISNUMBER(B45),B45&gt;=0,B45&lt;=24),1,0)</x:f>
        <x:v>0</x:v>
      </x:c>
      <x:c r="L45" s="40" t="n">
        <x:f>IF(ISNUMBER(C45),IF(AND(C45&gt;=1,C45&lt;=5,MOD(C45,1)=0),1,0),0)</x:f>
        <x:v>0</x:v>
      </x:c>
      <x:c r="M45" s="40" t="n">
        <x:f>IF(AND(J45="Hợp lệ",ISNUMBER(F45)),1,0)</x:f>
        <x:v>0</x:v>
      </x:c>
      <x:c r="N45" s="40" t="n">
        <x:f>IF(AND(J45="Hợp lệ",ISNUMBER(G45)),1,0)</x:f>
        <x:v>0</x:v>
      </x:c>
      <x:c r="O45" s="40" t="n">
        <x:f>IF(J45="Hợp lệ",1,0)</x:f>
        <x:v>0</x:v>
      </x:c>
    </x:row>
    <x:row r="46" ht="25" customHeight="1">
      <x:c r="A46" s="22" t="n">
        <x:v>46348</x:v>
      </x:c>
      <x:c r="B46" s="23"/>
      <x:c r="C46" s="24"/>
      <x:c r="D46" s="26"/>
      <x:c r="E46" s="24"/>
      <x:c r="F46" s="24"/>
      <x:c r="G46" s="24"/>
      <x:c r="H46" s="21"/>
      <x:c r="I46" s="39"/>
      <x:c r="J46" s="40" t="str">
        <x:f>IF(AND(COUNTA(B46:I46)=0),"",IF(OR(AND(NOT(ISBLANK(B46)),OR(NOT(ISNUMBER(B46)),B46&lt;0,B46&gt;24)),AND(NOT(ISBLANK(C46)),IF(ISNUMBER(C46),OR(C46&lt;1,C46&gt;5,MOD(C46,1)&lt;&gt;0),TRUE))),"Lỗi ngủ/mệt",IF(NOT(ISNUMBER(E46)),"Thiếu tổng phút",IF(OR(E46&lt;0,OR(AND(NOT(ISBLANK(F46)),OR(NOT(ISNUMBER(F46)),F46&lt;0)),AND(NOT(ISBLANK(G46)),OR(NOT(ISNUMBER(G46)),G46&lt;0)))),"Lỗi phút",IF(SUM(F46:G46)&gt;E46,"Nghe+nói vượt tổng",IF(AND(D46&lt;&gt;"Nghỉ",D46&lt;&gt;"Kiệt sức",D46&lt;&gt;"Bình thường",D46&lt;&gt;"Đủ sức"),"Thiếu chế độ",IF(AND(LEN(I46)&gt;0,COUNTIF($I$63:$I$69,I46)=0),"Lỗi mã","Hợp lệ")))))))</x:f>
      </x:c>
      <x:c r="K46" s="40" t="n">
        <x:f>IF(AND(ISNUMBER(B46),B46&gt;=0,B46&lt;=24),1,0)</x:f>
        <x:v>0</x:v>
      </x:c>
      <x:c r="L46" s="40" t="n">
        <x:f>IF(ISNUMBER(C46),IF(AND(C46&gt;=1,C46&lt;=5,MOD(C46,1)=0),1,0),0)</x:f>
        <x:v>0</x:v>
      </x:c>
      <x:c r="M46" s="40" t="n">
        <x:f>IF(AND(J46="Hợp lệ",ISNUMBER(F46)),1,0)</x:f>
        <x:v>0</x:v>
      </x:c>
      <x:c r="N46" s="40" t="n">
        <x:f>IF(AND(J46="Hợp lệ",ISNUMBER(G46)),1,0)</x:f>
        <x:v>0</x:v>
      </x:c>
      <x:c r="O46" s="40" t="n">
        <x:f>IF(J46="Hợp lệ",1,0)</x:f>
        <x:v>0</x:v>
      </x:c>
    </x:row>
    <x:row r="47" ht="25" customHeight="1">
      <x:c r="A47" s="22" t="n">
        <x:v>46349</x:v>
      </x:c>
      <x:c r="B47" s="23"/>
      <x:c r="C47" s="24"/>
      <x:c r="D47" s="26"/>
      <x:c r="E47" s="24"/>
      <x:c r="F47" s="24"/>
      <x:c r="G47" s="24"/>
      <x:c r="H47" s="21"/>
      <x:c r="I47" s="39"/>
      <x:c r="J47" s="40" t="str">
        <x:f>IF(AND(COUNTA(B47:I47)=0),"",IF(OR(AND(NOT(ISBLANK(B47)),OR(NOT(ISNUMBER(B47)),B47&lt;0,B47&gt;24)),AND(NOT(ISBLANK(C47)),IF(ISNUMBER(C47),OR(C47&lt;1,C47&gt;5,MOD(C47,1)&lt;&gt;0),TRUE))),"Lỗi ngủ/mệt",IF(NOT(ISNUMBER(E47)),"Thiếu tổng phút",IF(OR(E47&lt;0,OR(AND(NOT(ISBLANK(F47)),OR(NOT(ISNUMBER(F47)),F47&lt;0)),AND(NOT(ISBLANK(G47)),OR(NOT(ISNUMBER(G47)),G47&lt;0)))),"Lỗi phút",IF(SUM(F47:G47)&gt;E47,"Nghe+nói vượt tổng",IF(AND(D47&lt;&gt;"Nghỉ",D47&lt;&gt;"Kiệt sức",D47&lt;&gt;"Bình thường",D47&lt;&gt;"Đủ sức"),"Thiếu chế độ",IF(AND(LEN(I47)&gt;0,COUNTIF($I$63:$I$69,I47)=0),"Lỗi mã","Hợp lệ")))))))</x:f>
      </x:c>
      <x:c r="K47" s="40" t="n">
        <x:f>IF(AND(ISNUMBER(B47),B47&gt;=0,B47&lt;=24),1,0)</x:f>
        <x:v>0</x:v>
      </x:c>
      <x:c r="L47" s="40" t="n">
        <x:f>IF(ISNUMBER(C47),IF(AND(C47&gt;=1,C47&lt;=5,MOD(C47,1)=0),1,0),0)</x:f>
        <x:v>0</x:v>
      </x:c>
      <x:c r="M47" s="40" t="n">
        <x:f>IF(AND(J47="Hợp lệ",ISNUMBER(F47)),1,0)</x:f>
        <x:v>0</x:v>
      </x:c>
      <x:c r="N47" s="40" t="n">
        <x:f>IF(AND(J47="Hợp lệ",ISNUMBER(G47)),1,0)</x:f>
        <x:v>0</x:v>
      </x:c>
      <x:c r="O47" s="40" t="n">
        <x:f>IF(J47="Hợp lệ",1,0)</x:f>
        <x:v>0</x:v>
      </x:c>
    </x:row>
    <x:row r="48" ht="25" customHeight="1">
      <x:c r="A48" s="22" t="n">
        <x:v>46350</x:v>
      </x:c>
      <x:c r="B48" s="23"/>
      <x:c r="C48" s="24"/>
      <x:c r="D48" s="26"/>
      <x:c r="E48" s="24"/>
      <x:c r="F48" s="24"/>
      <x:c r="G48" s="24"/>
      <x:c r="H48" s="21"/>
      <x:c r="I48" s="39"/>
      <x:c r="J48" s="40" t="str">
        <x:f>IF(AND(COUNTA(B48:I48)=0),"",IF(OR(AND(NOT(ISBLANK(B48)),OR(NOT(ISNUMBER(B48)),B48&lt;0,B48&gt;24)),AND(NOT(ISBLANK(C48)),IF(ISNUMBER(C48),OR(C48&lt;1,C48&gt;5,MOD(C48,1)&lt;&gt;0),TRUE))),"Lỗi ngủ/mệt",IF(NOT(ISNUMBER(E48)),"Thiếu tổng phút",IF(OR(E48&lt;0,OR(AND(NOT(ISBLANK(F48)),OR(NOT(ISNUMBER(F48)),F48&lt;0)),AND(NOT(ISBLANK(G48)),OR(NOT(ISNUMBER(G48)),G48&lt;0)))),"Lỗi phút",IF(SUM(F48:G48)&gt;E48,"Nghe+nói vượt tổng",IF(AND(D48&lt;&gt;"Nghỉ",D48&lt;&gt;"Kiệt sức",D48&lt;&gt;"Bình thường",D48&lt;&gt;"Đủ sức"),"Thiếu chế độ",IF(AND(LEN(I48)&gt;0,COUNTIF($I$63:$I$69,I48)=0),"Lỗi mã","Hợp lệ")))))))</x:f>
      </x:c>
      <x:c r="K48" s="40" t="n">
        <x:f>IF(AND(ISNUMBER(B48),B48&gt;=0,B48&lt;=24),1,0)</x:f>
        <x:v>0</x:v>
      </x:c>
      <x:c r="L48" s="40" t="n">
        <x:f>IF(ISNUMBER(C48),IF(AND(C48&gt;=1,C48&lt;=5,MOD(C48,1)=0),1,0),0)</x:f>
        <x:v>0</x:v>
      </x:c>
      <x:c r="M48" s="40" t="n">
        <x:f>IF(AND(J48="Hợp lệ",ISNUMBER(F48)),1,0)</x:f>
        <x:v>0</x:v>
      </x:c>
      <x:c r="N48" s="40" t="n">
        <x:f>IF(AND(J48="Hợp lệ",ISNUMBER(G48)),1,0)</x:f>
        <x:v>0</x:v>
      </x:c>
      <x:c r="O48" s="40" t="n">
        <x:f>IF(J48="Hợp lệ",1,0)</x:f>
        <x:v>0</x:v>
      </x:c>
    </x:row>
    <x:row r="49" ht="25" customHeight="1">
      <x:c r="A49" s="22" t="n">
        <x:v>46351</x:v>
      </x:c>
      <x:c r="B49" s="23"/>
      <x:c r="C49" s="24"/>
      <x:c r="D49" s="26"/>
      <x:c r="E49" s="24"/>
      <x:c r="F49" s="24"/>
      <x:c r="G49" s="24"/>
      <x:c r="H49" s="21"/>
      <x:c r="I49" s="39"/>
      <x:c r="J49" s="40" t="str">
        <x:f>IF(AND(COUNTA(B49:I49)=0),"",IF(OR(AND(NOT(ISBLANK(B49)),OR(NOT(ISNUMBER(B49)),B49&lt;0,B49&gt;24)),AND(NOT(ISBLANK(C49)),IF(ISNUMBER(C49),OR(C49&lt;1,C49&gt;5,MOD(C49,1)&lt;&gt;0),TRUE))),"Lỗi ngủ/mệt",IF(NOT(ISNUMBER(E49)),"Thiếu tổng phút",IF(OR(E49&lt;0,OR(AND(NOT(ISBLANK(F49)),OR(NOT(ISNUMBER(F49)),F49&lt;0)),AND(NOT(ISBLANK(G49)),OR(NOT(ISNUMBER(G49)),G49&lt;0)))),"Lỗi phút",IF(SUM(F49:G49)&gt;E49,"Nghe+nói vượt tổng",IF(AND(D49&lt;&gt;"Nghỉ",D49&lt;&gt;"Kiệt sức",D49&lt;&gt;"Bình thường",D49&lt;&gt;"Đủ sức"),"Thiếu chế độ",IF(AND(LEN(I49)&gt;0,COUNTIF($I$63:$I$69,I49)=0),"Lỗi mã","Hợp lệ")))))))</x:f>
      </x:c>
      <x:c r="K49" s="40" t="n">
        <x:f>IF(AND(ISNUMBER(B49),B49&gt;=0,B49&lt;=24),1,0)</x:f>
        <x:v>0</x:v>
      </x:c>
      <x:c r="L49" s="40" t="n">
        <x:f>IF(ISNUMBER(C49),IF(AND(C49&gt;=1,C49&lt;=5,MOD(C49,1)=0),1,0),0)</x:f>
        <x:v>0</x:v>
      </x:c>
      <x:c r="M49" s="40" t="n">
        <x:f>IF(AND(J49="Hợp lệ",ISNUMBER(F49)),1,0)</x:f>
        <x:v>0</x:v>
      </x:c>
      <x:c r="N49" s="40" t="n">
        <x:f>IF(AND(J49="Hợp lệ",ISNUMBER(G49)),1,0)</x:f>
        <x:v>0</x:v>
      </x:c>
      <x:c r="O49" s="40" t="n">
        <x:f>IF(J49="Hợp lệ",1,0)</x:f>
        <x:v>0</x:v>
      </x:c>
    </x:row>
    <x:row r="50" ht="25" customHeight="1">
      <x:c r="A50" s="22" t="n">
        <x:v>46352</x:v>
      </x:c>
      <x:c r="B50" s="23"/>
      <x:c r="C50" s="24"/>
      <x:c r="D50" s="26"/>
      <x:c r="E50" s="24"/>
      <x:c r="F50" s="24"/>
      <x:c r="G50" s="24"/>
      <x:c r="H50" s="21"/>
      <x:c r="I50" s="39"/>
      <x:c r="J50" s="40" t="str">
        <x:f>IF(AND(COUNTA(B50:I50)=0),"",IF(OR(AND(NOT(ISBLANK(B50)),OR(NOT(ISNUMBER(B50)),B50&lt;0,B50&gt;24)),AND(NOT(ISBLANK(C50)),IF(ISNUMBER(C50),OR(C50&lt;1,C50&gt;5,MOD(C50,1)&lt;&gt;0),TRUE))),"Lỗi ngủ/mệt",IF(NOT(ISNUMBER(E50)),"Thiếu tổng phút",IF(OR(E50&lt;0,OR(AND(NOT(ISBLANK(F50)),OR(NOT(ISNUMBER(F50)),F50&lt;0)),AND(NOT(ISBLANK(G50)),OR(NOT(ISNUMBER(G50)),G50&lt;0)))),"Lỗi phút",IF(SUM(F50:G50)&gt;E50,"Nghe+nói vượt tổng",IF(AND(D50&lt;&gt;"Nghỉ",D50&lt;&gt;"Kiệt sức",D50&lt;&gt;"Bình thường",D50&lt;&gt;"Đủ sức"),"Thiếu chế độ",IF(AND(LEN(I50)&gt;0,COUNTIF($I$63:$I$69,I50)=0),"Lỗi mã","Hợp lệ")))))))</x:f>
      </x:c>
      <x:c r="K50" s="40" t="n">
        <x:f>IF(AND(ISNUMBER(B50),B50&gt;=0,B50&lt;=24),1,0)</x:f>
        <x:v>0</x:v>
      </x:c>
      <x:c r="L50" s="40" t="n">
        <x:f>IF(ISNUMBER(C50),IF(AND(C50&gt;=1,C50&lt;=5,MOD(C50,1)=0),1,0),0)</x:f>
        <x:v>0</x:v>
      </x:c>
      <x:c r="M50" s="40" t="n">
        <x:f>IF(AND(J50="Hợp lệ",ISNUMBER(F50)),1,0)</x:f>
        <x:v>0</x:v>
      </x:c>
      <x:c r="N50" s="40" t="n">
        <x:f>IF(AND(J50="Hợp lệ",ISNUMBER(G50)),1,0)</x:f>
        <x:v>0</x:v>
      </x:c>
      <x:c r="O50" s="40" t="n">
        <x:f>IF(J50="Hợp lệ",1,0)</x:f>
        <x:v>0</x:v>
      </x:c>
    </x:row>
    <x:row r="51" ht="25" customHeight="1">
      <x:c r="A51" s="22" t="n">
        <x:v>46353</x:v>
      </x:c>
      <x:c r="B51" s="23"/>
      <x:c r="C51" s="24"/>
      <x:c r="D51" s="26"/>
      <x:c r="E51" s="24"/>
      <x:c r="F51" s="24"/>
      <x:c r="G51" s="24"/>
      <x:c r="H51" s="21"/>
      <x:c r="I51" s="39"/>
      <x:c r="J51" s="40" t="str">
        <x:f>IF(AND(COUNTA(B51:I51)=0),"",IF(OR(AND(NOT(ISBLANK(B51)),OR(NOT(ISNUMBER(B51)),B51&lt;0,B51&gt;24)),AND(NOT(ISBLANK(C51)),IF(ISNUMBER(C51),OR(C51&lt;1,C51&gt;5,MOD(C51,1)&lt;&gt;0),TRUE))),"Lỗi ngủ/mệt",IF(NOT(ISNUMBER(E51)),"Thiếu tổng phút",IF(OR(E51&lt;0,OR(AND(NOT(ISBLANK(F51)),OR(NOT(ISNUMBER(F51)),F51&lt;0)),AND(NOT(ISBLANK(G51)),OR(NOT(ISNUMBER(G51)),G51&lt;0)))),"Lỗi phút",IF(SUM(F51:G51)&gt;E51,"Nghe+nói vượt tổng",IF(AND(D51&lt;&gt;"Nghỉ",D51&lt;&gt;"Kiệt sức",D51&lt;&gt;"Bình thường",D51&lt;&gt;"Đủ sức"),"Thiếu chế độ",IF(AND(LEN(I51)&gt;0,COUNTIF($I$63:$I$69,I51)=0),"Lỗi mã","Hợp lệ")))))))</x:f>
      </x:c>
      <x:c r="K51" s="40" t="n">
        <x:f>IF(AND(ISNUMBER(B51),B51&gt;=0,B51&lt;=24),1,0)</x:f>
        <x:v>0</x:v>
      </x:c>
      <x:c r="L51" s="40" t="n">
        <x:f>IF(ISNUMBER(C51),IF(AND(C51&gt;=1,C51&lt;=5,MOD(C51,1)=0),1,0),0)</x:f>
        <x:v>0</x:v>
      </x:c>
      <x:c r="M51" s="40" t="n">
        <x:f>IF(AND(J51="Hợp lệ",ISNUMBER(F51)),1,0)</x:f>
        <x:v>0</x:v>
      </x:c>
      <x:c r="N51" s="40" t="n">
        <x:f>IF(AND(J51="Hợp lệ",ISNUMBER(G51)),1,0)</x:f>
        <x:v>0</x:v>
      </x:c>
      <x:c r="O51" s="40" t="n">
        <x:f>IF(J51="Hợp lệ",1,0)</x:f>
        <x:v>0</x:v>
      </x:c>
    </x:row>
    <x:row r="52" ht="25" customHeight="1">
      <x:c r="A52" s="22" t="n">
        <x:v>46354</x:v>
      </x:c>
      <x:c r="B52" s="23"/>
      <x:c r="C52" s="24"/>
      <x:c r="D52" s="26"/>
      <x:c r="E52" s="24"/>
      <x:c r="F52" s="24"/>
      <x:c r="G52" s="24"/>
      <x:c r="H52" s="21"/>
      <x:c r="I52" s="39"/>
      <x:c r="J52" s="40" t="str">
        <x:f>IF(AND(COUNTA(B52:I52)=0),"",IF(OR(AND(NOT(ISBLANK(B52)),OR(NOT(ISNUMBER(B52)),B52&lt;0,B52&gt;24)),AND(NOT(ISBLANK(C52)),IF(ISNUMBER(C52),OR(C52&lt;1,C52&gt;5,MOD(C52,1)&lt;&gt;0),TRUE))),"Lỗi ngủ/mệt",IF(NOT(ISNUMBER(E52)),"Thiếu tổng phút",IF(OR(E52&lt;0,OR(AND(NOT(ISBLANK(F52)),OR(NOT(ISNUMBER(F52)),F52&lt;0)),AND(NOT(ISBLANK(G52)),OR(NOT(ISNUMBER(G52)),G52&lt;0)))),"Lỗi phút",IF(SUM(F52:G52)&gt;E52,"Nghe+nói vượt tổng",IF(AND(D52&lt;&gt;"Nghỉ",D52&lt;&gt;"Kiệt sức",D52&lt;&gt;"Bình thường",D52&lt;&gt;"Đủ sức"),"Thiếu chế độ",IF(AND(LEN(I52)&gt;0,COUNTIF($I$63:$I$69,I52)=0),"Lỗi mã","Hợp lệ")))))))</x:f>
      </x:c>
      <x:c r="K52" s="40" t="n">
        <x:f>IF(AND(ISNUMBER(B52),B52&gt;=0,B52&lt;=24),1,0)</x:f>
        <x:v>0</x:v>
      </x:c>
      <x:c r="L52" s="40" t="n">
        <x:f>IF(ISNUMBER(C52),IF(AND(C52&gt;=1,C52&lt;=5,MOD(C52,1)=0),1,0),0)</x:f>
        <x:v>0</x:v>
      </x:c>
      <x:c r="M52" s="40" t="n">
        <x:f>IF(AND(J52="Hợp lệ",ISNUMBER(F52)),1,0)</x:f>
        <x:v>0</x:v>
      </x:c>
      <x:c r="N52" s="40" t="n">
        <x:f>IF(AND(J52="Hợp lệ",ISNUMBER(G52)),1,0)</x:f>
        <x:v>0</x:v>
      </x:c>
      <x:c r="O52" s="40" t="n">
        <x:f>IF(J52="Hợp lệ",1,0)</x:f>
        <x:v>0</x:v>
      </x:c>
    </x:row>
    <x:row r="53" ht="25" customHeight="1">
      <x:c r="A53" s="22" t="n">
        <x:v>46355</x:v>
      </x:c>
      <x:c r="B53" s="23"/>
      <x:c r="C53" s="24"/>
      <x:c r="D53" s="26"/>
      <x:c r="E53" s="24"/>
      <x:c r="F53" s="24"/>
      <x:c r="G53" s="24"/>
      <x:c r="H53" s="21"/>
      <x:c r="I53" s="39"/>
      <x:c r="J53" s="40" t="str">
        <x:f>IF(AND(COUNTA(B53:I53)=0),"",IF(OR(AND(NOT(ISBLANK(B53)),OR(NOT(ISNUMBER(B53)),B53&lt;0,B53&gt;24)),AND(NOT(ISBLANK(C53)),IF(ISNUMBER(C53),OR(C53&lt;1,C53&gt;5,MOD(C53,1)&lt;&gt;0),TRUE))),"Lỗi ngủ/mệt",IF(NOT(ISNUMBER(E53)),"Thiếu tổng phút",IF(OR(E53&lt;0,OR(AND(NOT(ISBLANK(F53)),OR(NOT(ISNUMBER(F53)),F53&lt;0)),AND(NOT(ISBLANK(G53)),OR(NOT(ISNUMBER(G53)),G53&lt;0)))),"Lỗi phút",IF(SUM(F53:G53)&gt;E53,"Nghe+nói vượt tổng",IF(AND(D53&lt;&gt;"Nghỉ",D53&lt;&gt;"Kiệt sức",D53&lt;&gt;"Bình thường",D53&lt;&gt;"Đủ sức"),"Thiếu chế độ",IF(AND(LEN(I53)&gt;0,COUNTIF($I$63:$I$69,I53)=0),"Lỗi mã","Hợp lệ")))))))</x:f>
      </x:c>
      <x:c r="K53" s="40" t="n">
        <x:f>IF(AND(ISNUMBER(B53),B53&gt;=0,B53&lt;=24),1,0)</x:f>
        <x:v>0</x:v>
      </x:c>
      <x:c r="L53" s="40" t="n">
        <x:f>IF(ISNUMBER(C53),IF(AND(C53&gt;=1,C53&lt;=5,MOD(C53,1)=0),1,0),0)</x:f>
        <x:v>0</x:v>
      </x:c>
      <x:c r="M53" s="40" t="n">
        <x:f>IF(AND(J53="Hợp lệ",ISNUMBER(F53)),1,0)</x:f>
        <x:v>0</x:v>
      </x:c>
      <x:c r="N53" s="40" t="n">
        <x:f>IF(AND(J53="Hợp lệ",ISNUMBER(G53)),1,0)</x:f>
        <x:v>0</x:v>
      </x:c>
      <x:c r="O53" s="40" t="n">
        <x:f>IF(J53="Hợp lệ",1,0)</x:f>
        <x:v>0</x:v>
      </x:c>
    </x:row>
    <x:row r="54" ht="25" customHeight="1">
      <x:c r="A54" s="22" t="n">
        <x:v>46356</x:v>
      </x:c>
      <x:c r="B54" s="23"/>
      <x:c r="C54" s="24"/>
      <x:c r="D54" s="26"/>
      <x:c r="E54" s="24"/>
      <x:c r="F54" s="24"/>
      <x:c r="G54" s="24"/>
      <x:c r="H54" s="21"/>
      <x:c r="I54" s="39"/>
      <x:c r="J54" s="40" t="str">
        <x:f>IF(AND(COUNTA(B54:I54)=0),"",IF(OR(AND(NOT(ISBLANK(B54)),OR(NOT(ISNUMBER(B54)),B54&lt;0,B54&gt;24)),AND(NOT(ISBLANK(C54)),IF(ISNUMBER(C54),OR(C54&lt;1,C54&gt;5,MOD(C54,1)&lt;&gt;0),TRUE))),"Lỗi ngủ/mệt",IF(NOT(ISNUMBER(E54)),"Thiếu tổng phút",IF(OR(E54&lt;0,OR(AND(NOT(ISBLANK(F54)),OR(NOT(ISNUMBER(F54)),F54&lt;0)),AND(NOT(ISBLANK(G54)),OR(NOT(ISNUMBER(G54)),G54&lt;0)))),"Lỗi phút",IF(SUM(F54:G54)&gt;E54,"Nghe+nói vượt tổng",IF(AND(D54&lt;&gt;"Nghỉ",D54&lt;&gt;"Kiệt sức",D54&lt;&gt;"Bình thường",D54&lt;&gt;"Đủ sức"),"Thiếu chế độ",IF(AND(LEN(I54)&gt;0,COUNTIF($I$63:$I$69,I54)=0),"Lỗi mã","Hợp lệ")))))))</x:f>
      </x:c>
      <x:c r="K54" s="40" t="n">
        <x:f>IF(AND(ISNUMBER(B54),B54&gt;=0,B54&lt;=24),1,0)</x:f>
        <x:v>0</x:v>
      </x:c>
      <x:c r="L54" s="40" t="n">
        <x:f>IF(ISNUMBER(C54),IF(AND(C54&gt;=1,C54&lt;=5,MOD(C54,1)=0),1,0),0)</x:f>
        <x:v>0</x:v>
      </x:c>
      <x:c r="M54" s="40" t="n">
        <x:f>IF(AND(J54="Hợp lệ",ISNUMBER(F54)),1,0)</x:f>
        <x:v>0</x:v>
      </x:c>
      <x:c r="N54" s="40" t="n">
        <x:f>IF(AND(J54="Hợp lệ",ISNUMBER(G54)),1,0)</x:f>
        <x:v>0</x:v>
      </x:c>
      <x:c r="O54" s="40" t="n">
        <x:f>IF(J54="Hợp lệ",1,0)</x:f>
        <x:v>0</x:v>
      </x:c>
    </x:row>
    <x:row r="55" ht="25" customHeight="1">
      <x:c r="A55" s="22" t="n">
        <x:v>46357</x:v>
      </x:c>
      <x:c r="B55" s="23"/>
      <x:c r="C55" s="24"/>
      <x:c r="D55" s="26"/>
      <x:c r="E55" s="24"/>
      <x:c r="F55" s="24"/>
      <x:c r="G55" s="24"/>
      <x:c r="H55" s="21"/>
      <x:c r="I55" s="39"/>
      <x:c r="J55" s="40" t="str">
        <x:f>IF(AND(COUNTA(B55:I55)=0),"",IF(OR(AND(NOT(ISBLANK(B55)),OR(NOT(ISNUMBER(B55)),B55&lt;0,B55&gt;24)),AND(NOT(ISBLANK(C55)),IF(ISNUMBER(C55),OR(C55&lt;1,C55&gt;5,MOD(C55,1)&lt;&gt;0),TRUE))),"Lỗi ngủ/mệt",IF(NOT(ISNUMBER(E55)),"Thiếu tổng phút",IF(OR(E55&lt;0,OR(AND(NOT(ISBLANK(F55)),OR(NOT(ISNUMBER(F55)),F55&lt;0)),AND(NOT(ISBLANK(G55)),OR(NOT(ISNUMBER(G55)),G55&lt;0)))),"Lỗi phút",IF(SUM(F55:G55)&gt;E55,"Nghe+nói vượt tổng",IF(AND(D55&lt;&gt;"Nghỉ",D55&lt;&gt;"Kiệt sức",D55&lt;&gt;"Bình thường",D55&lt;&gt;"Đủ sức"),"Thiếu chế độ",IF(AND(LEN(I55)&gt;0,COUNTIF($I$63:$I$69,I55)=0),"Lỗi mã","Hợp lệ")))))))</x:f>
      </x:c>
      <x:c r="K55" s="40" t="n">
        <x:f>IF(AND(ISNUMBER(B55),B55&gt;=0,B55&lt;=24),1,0)</x:f>
        <x:v>0</x:v>
      </x:c>
      <x:c r="L55" s="40" t="n">
        <x:f>IF(ISNUMBER(C55),IF(AND(C55&gt;=1,C55&lt;=5,MOD(C55,1)=0),1,0),0)</x:f>
        <x:v>0</x:v>
      </x:c>
      <x:c r="M55" s="40" t="n">
        <x:f>IF(AND(J55="Hợp lệ",ISNUMBER(F55)),1,0)</x:f>
        <x:v>0</x:v>
      </x:c>
      <x:c r="N55" s="40" t="n">
        <x:f>IF(AND(J55="Hợp lệ",ISNUMBER(G55)),1,0)</x:f>
        <x:v>0</x:v>
      </x:c>
      <x:c r="O55" s="40" t="n">
        <x:f>IF(J55="Hợp lệ",1,0)</x:f>
        <x:v>0</x:v>
      </x:c>
    </x:row>
    <x:row r="56" ht="25" customHeight="1">
      <x:c r="A56" s="22" t="n">
        <x:v>46358</x:v>
      </x:c>
      <x:c r="B56" s="23"/>
      <x:c r="C56" s="24"/>
      <x:c r="D56" s="26"/>
      <x:c r="E56" s="24"/>
      <x:c r="F56" s="24"/>
      <x:c r="G56" s="24"/>
      <x:c r="H56" s="21"/>
      <x:c r="I56" s="39"/>
      <x:c r="J56" s="40" t="str">
        <x:f>IF(AND(COUNTA(B56:I56)=0),"",IF(OR(AND(NOT(ISBLANK(B56)),OR(NOT(ISNUMBER(B56)),B56&lt;0,B56&gt;24)),AND(NOT(ISBLANK(C56)),IF(ISNUMBER(C56),OR(C56&lt;1,C56&gt;5,MOD(C56,1)&lt;&gt;0),TRUE))),"Lỗi ngủ/mệt",IF(NOT(ISNUMBER(E56)),"Thiếu tổng phút",IF(OR(E56&lt;0,OR(AND(NOT(ISBLANK(F56)),OR(NOT(ISNUMBER(F56)),F56&lt;0)),AND(NOT(ISBLANK(G56)),OR(NOT(ISNUMBER(G56)),G56&lt;0)))),"Lỗi phút",IF(SUM(F56:G56)&gt;E56,"Nghe+nói vượt tổng",IF(AND(D56&lt;&gt;"Nghỉ",D56&lt;&gt;"Kiệt sức",D56&lt;&gt;"Bình thường",D56&lt;&gt;"Đủ sức"),"Thiếu chế độ",IF(AND(LEN(I56)&gt;0,COUNTIF($I$63:$I$69,I56)=0),"Lỗi mã","Hợp lệ")))))))</x:f>
      </x:c>
      <x:c r="K56" s="40" t="n">
        <x:f>IF(AND(ISNUMBER(B56),B56&gt;=0,B56&lt;=24),1,0)</x:f>
        <x:v>0</x:v>
      </x:c>
      <x:c r="L56" s="40" t="n">
        <x:f>IF(ISNUMBER(C56),IF(AND(C56&gt;=1,C56&lt;=5,MOD(C56,1)=0),1,0),0)</x:f>
        <x:v>0</x:v>
      </x:c>
      <x:c r="M56" s="40" t="n">
        <x:f>IF(AND(J56="Hợp lệ",ISNUMBER(F56)),1,0)</x:f>
        <x:v>0</x:v>
      </x:c>
      <x:c r="N56" s="40" t="n">
        <x:f>IF(AND(J56="Hợp lệ",ISNUMBER(G56)),1,0)</x:f>
        <x:v>0</x:v>
      </x:c>
      <x:c r="O56" s="40" t="n">
        <x:f>IF(J56="Hợp lệ",1,0)</x:f>
        <x:v>0</x:v>
      </x:c>
    </x:row>
    <x:row r="57" ht="25" customHeight="1">
      <x:c r="A57" s="22" t="n">
        <x:v>46359</x:v>
      </x:c>
      <x:c r="B57" s="23"/>
      <x:c r="C57" s="24"/>
      <x:c r="D57" s="26"/>
      <x:c r="E57" s="24"/>
      <x:c r="F57" s="24"/>
      <x:c r="G57" s="24"/>
      <x:c r="H57" s="21"/>
      <x:c r="I57" s="39"/>
      <x:c r="J57" s="40" t="str">
        <x:f>IF(AND(COUNTA(B57:I57)=0),"",IF(OR(AND(NOT(ISBLANK(B57)),OR(NOT(ISNUMBER(B57)),B57&lt;0,B57&gt;24)),AND(NOT(ISBLANK(C57)),IF(ISNUMBER(C57),OR(C57&lt;1,C57&gt;5,MOD(C57,1)&lt;&gt;0),TRUE))),"Lỗi ngủ/mệt",IF(NOT(ISNUMBER(E57)),"Thiếu tổng phút",IF(OR(E57&lt;0,OR(AND(NOT(ISBLANK(F57)),OR(NOT(ISNUMBER(F57)),F57&lt;0)),AND(NOT(ISBLANK(G57)),OR(NOT(ISNUMBER(G57)),G57&lt;0)))),"Lỗi phút",IF(SUM(F57:G57)&gt;E57,"Nghe+nói vượt tổng",IF(AND(D57&lt;&gt;"Nghỉ",D57&lt;&gt;"Kiệt sức",D57&lt;&gt;"Bình thường",D57&lt;&gt;"Đủ sức"),"Thiếu chế độ",IF(AND(LEN(I57)&gt;0,COUNTIF($I$63:$I$69,I57)=0),"Lỗi mã","Hợp lệ")))))))</x:f>
      </x:c>
      <x:c r="K57" s="40" t="n">
        <x:f>IF(AND(ISNUMBER(B57),B57&gt;=0,B57&lt;=24),1,0)</x:f>
        <x:v>0</x:v>
      </x:c>
      <x:c r="L57" s="40" t="n">
        <x:f>IF(ISNUMBER(C57),IF(AND(C57&gt;=1,C57&lt;=5,MOD(C57,1)=0),1,0),0)</x:f>
        <x:v>0</x:v>
      </x:c>
      <x:c r="M57" s="40" t="n">
        <x:f>IF(AND(J57="Hợp lệ",ISNUMBER(F57)),1,0)</x:f>
        <x:v>0</x:v>
      </x:c>
      <x:c r="N57" s="40" t="n">
        <x:f>IF(AND(J57="Hợp lệ",ISNUMBER(G57)),1,0)</x:f>
        <x:v>0</x:v>
      </x:c>
      <x:c r="O57" s="40" t="n">
        <x:f>IF(J57="Hợp lệ",1,0)</x:f>
        <x:v>0</x:v>
      </x:c>
    </x:row>
    <x:row r="58" ht="25" customHeight="1">
      <x:c r="A58" s="22" t="n">
        <x:v>46360</x:v>
      </x:c>
      <x:c r="B58" s="23"/>
      <x:c r="C58" s="24"/>
      <x:c r="D58" s="26"/>
      <x:c r="E58" s="24"/>
      <x:c r="F58" s="24"/>
      <x:c r="G58" s="24"/>
      <x:c r="H58" s="21"/>
      <x:c r="I58" s="39"/>
      <x:c r="J58" s="40" t="str">
        <x:f>IF(AND(COUNTA(B58:I58)=0),"",IF(OR(AND(NOT(ISBLANK(B58)),OR(NOT(ISNUMBER(B58)),B58&lt;0,B58&gt;24)),AND(NOT(ISBLANK(C58)),IF(ISNUMBER(C58),OR(C58&lt;1,C58&gt;5,MOD(C58,1)&lt;&gt;0),TRUE))),"Lỗi ngủ/mệt",IF(NOT(ISNUMBER(E58)),"Thiếu tổng phút",IF(OR(E58&lt;0,OR(AND(NOT(ISBLANK(F58)),OR(NOT(ISNUMBER(F58)),F58&lt;0)),AND(NOT(ISBLANK(G58)),OR(NOT(ISNUMBER(G58)),G58&lt;0)))),"Lỗi phút",IF(SUM(F58:G58)&gt;E58,"Nghe+nói vượt tổng",IF(AND(D58&lt;&gt;"Nghỉ",D58&lt;&gt;"Kiệt sức",D58&lt;&gt;"Bình thường",D58&lt;&gt;"Đủ sức"),"Thiếu chế độ",IF(AND(LEN(I58)&gt;0,COUNTIF($I$63:$I$69,I58)=0),"Lỗi mã","Hợp lệ")))))))</x:f>
      </x:c>
      <x:c r="K58" s="40" t="n">
        <x:f>IF(AND(ISNUMBER(B58),B58&gt;=0,B58&lt;=24),1,0)</x:f>
        <x:v>0</x:v>
      </x:c>
      <x:c r="L58" s="40" t="n">
        <x:f>IF(ISNUMBER(C58),IF(AND(C58&gt;=1,C58&lt;=5,MOD(C58,1)=0),1,0),0)</x:f>
        <x:v>0</x:v>
      </x:c>
      <x:c r="M58" s="40" t="n">
        <x:f>IF(AND(J58="Hợp lệ",ISNUMBER(F58)),1,0)</x:f>
        <x:v>0</x:v>
      </x:c>
      <x:c r="N58" s="40" t="n">
        <x:f>IF(AND(J58="Hợp lệ",ISNUMBER(G58)),1,0)</x:f>
        <x:v>0</x:v>
      </x:c>
      <x:c r="O58" s="40" t="n">
        <x:f>IF(J58="Hợp lệ",1,0)</x:f>
        <x:v>0</x:v>
      </x:c>
    </x:row>
    <x:row r="59" ht="25" customHeight="1">
      <x:c r="A59" s="22" t="n">
        <x:v>46361</x:v>
      </x:c>
      <x:c r="B59" s="23"/>
      <x:c r="C59" s="24"/>
      <x:c r="D59" s="26"/>
      <x:c r="E59" s="24"/>
      <x:c r="F59" s="24"/>
      <x:c r="G59" s="24"/>
      <x:c r="H59" s="21"/>
      <x:c r="I59" s="39"/>
      <x:c r="J59" s="40" t="str">
        <x:f>IF(AND(COUNTA(B59:I59)=0),"",IF(OR(AND(NOT(ISBLANK(B59)),OR(NOT(ISNUMBER(B59)),B59&lt;0,B59&gt;24)),AND(NOT(ISBLANK(C59)),IF(ISNUMBER(C59),OR(C59&lt;1,C59&gt;5,MOD(C59,1)&lt;&gt;0),TRUE))),"Lỗi ngủ/mệt",IF(NOT(ISNUMBER(E59)),"Thiếu tổng phút",IF(OR(E59&lt;0,OR(AND(NOT(ISBLANK(F59)),OR(NOT(ISNUMBER(F59)),F59&lt;0)),AND(NOT(ISBLANK(G59)),OR(NOT(ISNUMBER(G59)),G59&lt;0)))),"Lỗi phút",IF(SUM(F59:G59)&gt;E59,"Nghe+nói vượt tổng",IF(AND(D59&lt;&gt;"Nghỉ",D59&lt;&gt;"Kiệt sức",D59&lt;&gt;"Bình thường",D59&lt;&gt;"Đủ sức"),"Thiếu chế độ",IF(AND(LEN(I59)&gt;0,COUNTIF($I$63:$I$69,I59)=0),"Lỗi mã","Hợp lệ")))))))</x:f>
      </x:c>
      <x:c r="K59" s="40" t="n">
        <x:f>IF(AND(ISNUMBER(B59),B59&gt;=0,B59&lt;=24),1,0)</x:f>
        <x:v>0</x:v>
      </x:c>
      <x:c r="L59" s="40" t="n">
        <x:f>IF(ISNUMBER(C59),IF(AND(C59&gt;=1,C59&lt;=5,MOD(C59,1)=0),1,0),0)</x:f>
        <x:v>0</x:v>
      </x:c>
      <x:c r="M59" s="40" t="n">
        <x:f>IF(AND(J59="Hợp lệ",ISNUMBER(F59)),1,0)</x:f>
        <x:v>0</x:v>
      </x:c>
      <x:c r="N59" s="40" t="n">
        <x:f>IF(AND(J59="Hợp lệ",ISNUMBER(G59)),1,0)</x:f>
        <x:v>0</x:v>
      </x:c>
      <x:c r="O59" s="40" t="n">
        <x:f>IF(J59="Hợp lệ",1,0)</x:f>
        <x:v>0</x:v>
      </x:c>
    </x:row>
    <x:row r="62" ht="34" customHeight="1">
      <x:c r="I62" s="36" t="str">
        <x:v>Mã</x:v>
      </x:c>
      <x:c r="J62" s="38" t="str">
        <x:v>Ý nghĩa</x:v>
      </x:c>
    </x:row>
    <x:row r="63">
      <x:c r="I63" t="str">
        <x:v>V</x:v>
      </x:c>
      <x:c r="J63" t="str">
        <x:v>Từ và kanji</x:v>
      </x:c>
    </x:row>
    <x:row r="64">
      <x:c r="I64" t="str">
        <x:v>G</x:v>
      </x:c>
      <x:c r="J64" t="str">
        <x:v>Ngữ pháp</x:v>
      </x:c>
    </x:row>
    <x:row r="65">
      <x:c r="I65" t="str">
        <x:v>R</x:v>
      </x:c>
      <x:c r="J65" t="str">
        <x:v>Nối ý đọc</x:v>
      </x:c>
    </x:row>
    <x:row r="66">
      <x:c r="I66" t="str">
        <x:v>A</x:v>
      </x:c>
      <x:c r="J66" t="str">
        <x:v>Nhận diện âm</x:v>
      </x:c>
    </x:row>
    <x:row r="67">
      <x:c r="I67" t="str">
        <x:v>M</x:v>
      </x:c>
      <x:c r="J67" t="str">
        <x:v>Giữ thông tin</x:v>
      </x:c>
    </x:row>
    <x:row r="68">
      <x:c r="I68" t="str">
        <x:v>T</x:v>
      </x:c>
      <x:c r="J68" t="str">
        <x:v>Thời gian</x:v>
      </x:c>
    </x:row>
    <x:row r="69">
      <x:c r="I69" t="str">
        <x:v>F</x:v>
      </x:c>
      <x:c r="J69" t="str">
        <x:v>Mệt/gián đoạn</x:v>
      </x:c>
    </x:row>
  </x:sheetData>
  <x:conditionalFormatting sqref="E8:G59">
    <x:cfRule type="expression" dxfId="0" priority="1">
      <x:formula>AND(ISNUMBER($E8),SUM($F8:$G8)&gt;$E8)</x:formula>
    </x:cfRule>
  </x:conditionalFormatting>
  <x:conditionalFormatting sqref="J8:J59">
    <x:cfRule type="expression" dxfId="5" priority="2">
      <x:formula>AND(J8&lt;&gt;"",J8&lt;&gt;"Hợp lệ")</x:formula>
    </x:cfRule>
  </x:conditionalFormatting>
  <x:dataValidations count="5">
    <x:dataValidation type="list" errorStyle="stop" allowBlank="1" showErrorMessage="1" errorTitle="Giá trị chưa hợp lệ" error="Nhập đúng phạm vi; 0 là bỏ câu, trống là chưa làm." sqref="D8:D59">
      <x:formula1>"Nghỉ,Kiệt sức,Bình thường,Đủ sức"</x:formula1>
    </x:dataValidation>
    <x:dataValidation type="whole" errorStyle="stop" operator="between" allowBlank="1" showErrorMessage="1" errorTitle="Giá trị chưa hợp lệ" error="Nhập đúng phạm vi; 0 là bỏ câu, trống là chưa làm." sqref="C8:C59">
      <x:formula1>1</x:formula1>
      <x:formula2>5</x:formula2>
    </x:dataValidation>
    <x:dataValidation type="whole" errorStyle="stop" operator="between" allowBlank="1" showErrorMessage="1" errorTitle="Giá trị chưa hợp lệ" error="Nhập đúng phạm vi; 0 là bỏ câu, trống là chưa làm." sqref="E8:G59">
      <x:formula1>0</x:formula1>
      <x:formula2>1440</x:formula2>
    </x:dataValidation>
    <x:dataValidation type="list" errorStyle="stop" allowBlank="1" showErrorMessage="1" errorTitle="Giá trị chưa hợp lệ" error="Nhập đúng phạm vi; 0 là bỏ câu, trống là chưa làm." sqref="I8:I59">
      <x:formula1>"V,G,R,A,M,T,F"</x:formula1>
    </x:dataValidation>
    <x:dataValidation type="decimal" errorStyle="stop" operator="between" allowBlank="1" showErrorMessage="1" errorTitle="Giá trị chưa hợp lệ" error="Nhập đúng phạm vi; 0 là bỏ câu, trống là chưa làm." sqref="B8:B59">
      <x:formula1>0</x:formula1>
      <x:formula2>24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4C62"/>
  </x:sheetPr>
  <x:sheetViews>
    <x:sheetView showGridLines="0" workbookViewId="0" tabSelecte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" hidden="0" customWidth="1"/>
    <x:col min="3" max="3" width="15" hidden="0" customWidth="1"/>
    <x:col min="4" max="4" width="24" hidden="0" customWidth="1"/>
    <x:col min="5" max="5" width="12" hidden="0" customWidth="1"/>
    <x:col min="6" max="6" width="9" hidden="0" customWidth="1"/>
    <x:col min="7" max="7" width="10" hidden="0" customWidth="1"/>
    <x:col min="8" max="8" width="10" hidden="0" customWidth="1"/>
    <x:col min="9" max="9" width="12" hidden="0" customWidth="1"/>
    <x:col min="10" max="10" width="30" hidden="0" customWidth="1"/>
    <x:col min="11" max="11" width="13" hidden="0" customWidth="1"/>
    <x:col min="12" max="12" width="2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10" t="str">
        <x:v>Đo năng lực bằng câu mới và ôn lại lỗi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2" t="str">
        <x:v>Tỷ lệ đúng thô không đổi thành điểm JLPT. Chỉ dùng các hàng Mới để quyết định tăng độ khó.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2" customHeight="1">
      <x:c r="A5" s="12" t="str">
        <x:v>Ô vàng tự nhập; sửa ngày dự kiến theo ngày thật. START18 cuối bảng tự tổng hợp, không nhập lặp.</x:v>
      </x:c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2" customHeight="1">
      <x:c r="A6" s="12" t="str">
        <x:v>Chỉ hàng Mới, hợp lệ đi vào tổng hợp tuần. K là mã lỗi; L nêu dữ liệu cần sửa. Không đổi sang điểm JLPT.</x:v>
      </x:c>
      <x:c r="B6" s="12"/>
      <x:c r="C6" s="12"/>
      <x:c r="D6" s="12"/>
      <x:c r="E6" s="12"/>
      <x:c r="F6" s="12"/>
      <x:c r="G6" s="12"/>
      <x:c r="H6" s="12"/>
      <x:c r="I6" s="12"/>
      <x:c r="J6" s="12"/>
    </x:row>
    <x:row r="7" ht="34" customHeight="1">
      <x:c r="A7" s="7" t="str">
        <x:v>Ngày đo</x:v>
      </x:c>
      <x:c r="B7" s="8" t="str">
        <x:v>Cấp</x:v>
      </x:c>
      <x:c r="C7" s="8" t="str">
        <x:v>Kỹ năng</x:v>
      </x:c>
      <x:c r="D7" s="8" t="str">
        <x:v>Mã cuốn / phần / câu</x:v>
      </x:c>
      <x:c r="E7" s="8" t="str">
        <x:v>Loại câu</x:v>
      </x:c>
      <x:c r="F7" s="8" t="str">
        <x:v>Số đúng</x:v>
      </x:c>
      <x:c r="G7" s="8" t="str">
        <x:v>Tổng câu</x:v>
      </x:c>
      <x:c r="H7" s="8" t="str">
        <x:v>Phút làm</x:v>
      </x:c>
      <x:c r="I7" s="8" t="str">
        <x:v>Tỷ lệ đúng</x:v>
      </x:c>
      <x:c r="J7" s="9" t="str">
        <x:v>Lỗi chính hoặc quyết định</x:v>
      </x:c>
      <x:c r="K7" s="36" t="str">
        <x:v>Mã lỗi chính</x:v>
      </x:c>
      <x:c r="L7" s="38" t="str">
        <x:v>Kiểm tra dòng</x:v>
      </x:c>
    </x:row>
    <x:row r="8" ht="25" customHeight="1">
      <x:c r="A8" s="28" t="n">
        <x:v>46310</x:v>
      </x:c>
      <x:c r="B8" s="20" t="str">
        <x:v>N4</x:v>
      </x:c>
      <x:c r="C8" s="20" t="str">
        <x:v>Từ và kanji</x:v>
      </x:c>
      <x:c r="D8" s="21"/>
      <x:c r="E8" s="20"/>
      <x:c r="F8" s="24"/>
      <x:c r="G8" s="24"/>
      <x:c r="H8" s="24"/>
      <x:c r="I8" s="30" t="str">
        <x:f>IF(OR(ISBLANK(F8),ISBLANK(G8)),"",IF(OR(NOT(ISNUMBER(F8)),NOT(ISNUMBER(G8))),"Lỗi nhập",IF(OR(G8&lt;=0,F8&lt;0,F8&gt;G8),"Lỗi nhập",F8/G8)))</x:f>
      </x:c>
      <x:c r="J8" s="21"/>
      <x:c r="K8" s="39"/>
      <x:c r="L8" s="40" t="str">
        <x:f>IF(NOT(OR(COUNT(F8:H8)&gt;0,LEN(F8&amp;G8&amp;H8)&gt;0)),"",IF(NOT(ISNUMBER(I8)),"Lỗi/thiếu số đúng-tổng",IF(OR(MOD(F8,1)&lt;&gt;0,MOD(G8,1)&lt;&gt;0),"Lỗi/thiếu số đúng-tổng",IF(OR(AND(B8&lt;&gt;"N4",B8&lt;&gt;"N3",B8&lt;&gt;"N2"),AND(C8&lt;&gt;"Từ và kanji",C8&lt;&gt;"Ngữ pháp",C8&lt;&gt;"Đọc",C8&lt;&gt;"Nghe")),"Sai cấp/kỹ năng",IF(OR(NOT(ISNUMBER(A8)),A8&lt;1),"Thiếu ngày đo",IF(D8="","Thiếu mã bài",IF(AND(E8&lt;&gt;"Mới",E8&lt;&gt;"Ôn lại"),"Thiếu loại câu",IF(OR(NOT(ISNUMBER(H8)),H8&lt;=0),"Thiếu phút",IF(AND(E8="Mới",COUNTIFS($B$8:$B$79,B8,$C$8:$C$79,C8,$D$8:$D$79,D8,$E$8:$E$79,"Mới",$G$8:$G$79,"&gt;0")&gt;1),"Trùng câu mới","Hợp lệ")))))))))</x:f>
      </x:c>
    </x:row>
    <x:row r="9" ht="25" customHeight="1">
      <x:c r="A9" s="28" t="n">
        <x:v>46310</x:v>
      </x:c>
      <x:c r="B9" s="20" t="str">
        <x:v>N4</x:v>
      </x:c>
      <x:c r="C9" s="20" t="str">
        <x:v>Ngữ pháp</x:v>
      </x:c>
      <x:c r="D9" s="21"/>
      <x:c r="E9" s="20"/>
      <x:c r="F9" s="24"/>
      <x:c r="G9" s="24"/>
      <x:c r="H9" s="24"/>
      <x:c r="I9" s="30" t="str">
        <x:f>IF(OR(ISBLANK(F9),ISBLANK(G9)),"",IF(OR(NOT(ISNUMBER(F9)),NOT(ISNUMBER(G9))),"Lỗi nhập",IF(OR(G9&lt;=0,F9&lt;0,F9&gt;G9),"Lỗi nhập",F9/G9)))</x:f>
      </x:c>
      <x:c r="J9" s="21"/>
      <x:c r="K9" s="39"/>
      <x:c r="L9" s="40" t="str">
        <x:f>IF(NOT(OR(COUNT(F9:H9)&gt;0,LEN(F9&amp;G9&amp;H9)&gt;0)),"",IF(NOT(ISNUMBER(I9)),"Lỗi/thiếu số đúng-tổng",IF(OR(MOD(F9,1)&lt;&gt;0,MOD(G9,1)&lt;&gt;0),"Lỗi/thiếu số đúng-tổng",IF(OR(AND(B9&lt;&gt;"N4",B9&lt;&gt;"N3",B9&lt;&gt;"N2"),AND(C9&lt;&gt;"Từ và kanji",C9&lt;&gt;"Ngữ pháp",C9&lt;&gt;"Đọc",C9&lt;&gt;"Nghe")),"Sai cấp/kỹ năng",IF(OR(NOT(ISNUMBER(A9)),A9&lt;1),"Thiếu ngày đo",IF(D9="","Thiếu mã bài",IF(AND(E9&lt;&gt;"Mới",E9&lt;&gt;"Ôn lại"),"Thiếu loại câu",IF(OR(NOT(ISNUMBER(H9)),H9&lt;=0),"Thiếu phút",IF(AND(E9="Mới",COUNTIFS($B$8:$B$79,B9,$C$8:$C$79,C9,$D$8:$D$79,D9,$E$8:$E$79,"Mới",$G$8:$G$79,"&gt;0")&gt;1),"Trùng câu mới","Hợp lệ")))))))))</x:f>
      </x:c>
    </x:row>
    <x:row r="10" ht="25" customHeight="1">
      <x:c r="A10" s="28" t="n">
        <x:v>46310</x:v>
      </x:c>
      <x:c r="B10" s="20" t="str">
        <x:v>N4</x:v>
      </x:c>
      <x:c r="C10" s="20" t="str">
        <x:v>Đọc</x:v>
      </x:c>
      <x:c r="D10" s="21"/>
      <x:c r="E10" s="20"/>
      <x:c r="F10" s="24"/>
      <x:c r="G10" s="24"/>
      <x:c r="H10" s="24"/>
      <x:c r="I10" s="30" t="str">
        <x:f>IF(OR(ISBLANK(F10),ISBLANK(G10)),"",IF(OR(NOT(ISNUMBER(F10)),NOT(ISNUMBER(G10))),"Lỗi nhập",IF(OR(G10&lt;=0,F10&lt;0,F10&gt;G10),"Lỗi nhập",F10/G10)))</x:f>
      </x:c>
      <x:c r="J10" s="21"/>
      <x:c r="K10" s="39"/>
      <x:c r="L10" s="40" t="str">
        <x:f>IF(NOT(OR(COUNT(F10:H10)&gt;0,LEN(F10&amp;G10&amp;H10)&gt;0)),"",IF(NOT(ISNUMBER(I10)),"Lỗi/thiếu số đúng-tổng",IF(OR(MOD(F10,1)&lt;&gt;0,MOD(G10,1)&lt;&gt;0),"Lỗi/thiếu số đúng-tổng",IF(OR(AND(B10&lt;&gt;"N4",B10&lt;&gt;"N3",B10&lt;&gt;"N2"),AND(C10&lt;&gt;"Từ và kanji",C10&lt;&gt;"Ngữ pháp",C10&lt;&gt;"Đọc",C10&lt;&gt;"Nghe")),"Sai cấp/kỹ năng",IF(OR(NOT(ISNUMBER(A10)),A10&lt;1),"Thiếu ngày đo",IF(D10="","Thiếu mã bài",IF(AND(E10&lt;&gt;"Mới",E10&lt;&gt;"Ôn lại"),"Thiếu loại câu",IF(OR(NOT(ISNUMBER(H10)),H10&lt;=0),"Thiếu phút",IF(AND(E10="Mới",COUNTIFS($B$8:$B$79,B10,$C$8:$C$79,C10,$D$8:$D$79,D10,$E$8:$E$79,"Mới",$G$8:$G$79,"&gt;0")&gt;1),"Trùng câu mới","Hợp lệ")))))))))</x:f>
      </x:c>
    </x:row>
    <x:row r="11" ht="25" customHeight="1">
      <x:c r="A11" s="28" t="n">
        <x:v>46310</x:v>
      </x:c>
      <x:c r="B11" s="20" t="str">
        <x:v>N4</x:v>
      </x:c>
      <x:c r="C11" s="20" t="str">
        <x:v>Nghe</x:v>
      </x:c>
      <x:c r="D11" s="21"/>
      <x:c r="E11" s="20"/>
      <x:c r="F11" s="24"/>
      <x:c r="G11" s="24"/>
      <x:c r="H11" s="24"/>
      <x:c r="I11" s="30" t="str">
        <x:f>IF(OR(ISBLANK(F11),ISBLANK(G11)),"",IF(OR(NOT(ISNUMBER(F11)),NOT(ISNUMBER(G11))),"Lỗi nhập",IF(OR(G11&lt;=0,F11&lt;0,F11&gt;G11),"Lỗi nhập",F11/G11)))</x:f>
      </x:c>
      <x:c r="J11" s="21"/>
      <x:c r="K11" s="39"/>
      <x:c r="L11" s="40" t="str">
        <x:f>IF(NOT(OR(COUNT(F11:H11)&gt;0,LEN(F11&amp;G11&amp;H11)&gt;0)),"",IF(NOT(ISNUMBER(I11)),"Lỗi/thiếu số đúng-tổng",IF(OR(MOD(F11,1)&lt;&gt;0,MOD(G11,1)&lt;&gt;0),"Lỗi/thiếu số đúng-tổng",IF(OR(AND(B11&lt;&gt;"N4",B11&lt;&gt;"N3",B11&lt;&gt;"N2"),AND(C11&lt;&gt;"Từ và kanji",C11&lt;&gt;"Ngữ pháp",C11&lt;&gt;"Đọc",C11&lt;&gt;"Nghe")),"Sai cấp/kỹ năng",IF(OR(NOT(ISNUMBER(A11)),A11&lt;1),"Thiếu ngày đo",IF(D11="","Thiếu mã bài",IF(AND(E11&lt;&gt;"Mới",E11&lt;&gt;"Ôn lại"),"Thiếu loại câu",IF(OR(NOT(ISNUMBER(H11)),H11&lt;=0),"Thiếu phút",IF(AND(E11="Mới",COUNTIFS($B$8:$B$79,B11,$C$8:$C$79,C11,$D$8:$D$79,D11,$E$8:$E$79,"Mới",$G$8:$G$79,"&gt;0")&gt;1),"Trùng câu mới","Hợp lệ")))))))))</x:f>
      </x:c>
    </x:row>
    <x:row r="12" ht="25" customHeight="1">
      <x:c r="A12" s="28" t="n">
        <x:v>46310</x:v>
      </x:c>
      <x:c r="B12" s="20" t="str">
        <x:v>N3</x:v>
      </x:c>
      <x:c r="C12" s="20" t="str">
        <x:v>Từ và kanji</x:v>
      </x:c>
      <x:c r="D12" s="21"/>
      <x:c r="E12" s="20"/>
      <x:c r="F12" s="24"/>
      <x:c r="G12" s="24"/>
      <x:c r="H12" s="24"/>
      <x:c r="I12" s="30" t="str">
        <x:f>IF(OR(ISBLANK(F12),ISBLANK(G12)),"",IF(OR(NOT(ISNUMBER(F12)),NOT(ISNUMBER(G12))),"Lỗi nhập",IF(OR(G12&lt;=0,F12&lt;0,F12&gt;G12),"Lỗi nhập",F12/G12)))</x:f>
      </x:c>
      <x:c r="J12" s="21"/>
      <x:c r="K12" s="39"/>
      <x:c r="L12" s="40" t="str">
        <x:f>IF(NOT(OR(COUNT(F12:H12)&gt;0,LEN(F12&amp;G12&amp;H12)&gt;0)),"",IF(NOT(ISNUMBER(I12)),"Lỗi/thiếu số đúng-tổng",IF(OR(MOD(F12,1)&lt;&gt;0,MOD(G12,1)&lt;&gt;0),"Lỗi/thiếu số đúng-tổng",IF(OR(AND(B12&lt;&gt;"N4",B12&lt;&gt;"N3",B12&lt;&gt;"N2"),AND(C12&lt;&gt;"Từ và kanji",C12&lt;&gt;"Ngữ pháp",C12&lt;&gt;"Đọc",C12&lt;&gt;"Nghe")),"Sai cấp/kỹ năng",IF(OR(NOT(ISNUMBER(A12)),A12&lt;1),"Thiếu ngày đo",IF(D12="","Thiếu mã bài",IF(AND(E12&lt;&gt;"Mới",E12&lt;&gt;"Ôn lại"),"Thiếu loại câu",IF(OR(NOT(ISNUMBER(H12)),H12&lt;=0),"Thiếu phút",IF(AND(E12="Mới",COUNTIFS($B$8:$B$79,B12,$C$8:$C$79,C12,$D$8:$D$79,D12,$E$8:$E$79,"Mới",$G$8:$G$79,"&gt;0")&gt;1),"Trùng câu mới","Hợp lệ")))))))))</x:f>
      </x:c>
    </x:row>
    <x:row r="13" ht="25" customHeight="1">
      <x:c r="A13" s="28" t="n">
        <x:v>46310</x:v>
      </x:c>
      <x:c r="B13" s="20" t="str">
        <x:v>N3</x:v>
      </x:c>
      <x:c r="C13" s="20" t="str">
        <x:v>Ngữ pháp</x:v>
      </x:c>
      <x:c r="D13" s="21"/>
      <x:c r="E13" s="20"/>
      <x:c r="F13" s="24"/>
      <x:c r="G13" s="24"/>
      <x:c r="H13" s="24"/>
      <x:c r="I13" s="30" t="str">
        <x:f>IF(OR(ISBLANK(F13),ISBLANK(G13)),"",IF(OR(NOT(ISNUMBER(F13)),NOT(ISNUMBER(G13))),"Lỗi nhập",IF(OR(G13&lt;=0,F13&lt;0,F13&gt;G13),"Lỗi nhập",F13/G13)))</x:f>
      </x:c>
      <x:c r="J13" s="21"/>
      <x:c r="K13" s="39"/>
      <x:c r="L13" s="40" t="str">
        <x:f>IF(NOT(OR(COUNT(F13:H13)&gt;0,LEN(F13&amp;G13&amp;H13)&gt;0)),"",IF(NOT(ISNUMBER(I13)),"Lỗi/thiếu số đúng-tổng",IF(OR(MOD(F13,1)&lt;&gt;0,MOD(G13,1)&lt;&gt;0),"Lỗi/thiếu số đúng-tổng",IF(OR(AND(B13&lt;&gt;"N4",B13&lt;&gt;"N3",B13&lt;&gt;"N2"),AND(C13&lt;&gt;"Từ và kanji",C13&lt;&gt;"Ngữ pháp",C13&lt;&gt;"Đọc",C13&lt;&gt;"Nghe")),"Sai cấp/kỹ năng",IF(OR(NOT(ISNUMBER(A13)),A13&lt;1),"Thiếu ngày đo",IF(D13="","Thiếu mã bài",IF(AND(E13&lt;&gt;"Mới",E13&lt;&gt;"Ôn lại"),"Thiếu loại câu",IF(OR(NOT(ISNUMBER(H13)),H13&lt;=0),"Thiếu phút",IF(AND(E13="Mới",COUNTIFS($B$8:$B$79,B13,$C$8:$C$79,C13,$D$8:$D$79,D13,$E$8:$E$79,"Mới",$G$8:$G$79,"&gt;0")&gt;1),"Trùng câu mới","Hợp lệ")))))))))</x:f>
      </x:c>
    </x:row>
    <x:row r="14" ht="25" customHeight="1">
      <x:c r="A14" s="28" t="n">
        <x:v>46310</x:v>
      </x:c>
      <x:c r="B14" s="20" t="str">
        <x:v>N3</x:v>
      </x:c>
      <x:c r="C14" s="20" t="str">
        <x:v>Đọc</x:v>
      </x:c>
      <x:c r="D14" s="21"/>
      <x:c r="E14" s="20"/>
      <x:c r="F14" s="24"/>
      <x:c r="G14" s="24"/>
      <x:c r="H14" s="24"/>
      <x:c r="I14" s="30" t="str">
        <x:f>IF(OR(ISBLANK(F14),ISBLANK(G14)),"",IF(OR(NOT(ISNUMBER(F14)),NOT(ISNUMBER(G14))),"Lỗi nhập",IF(OR(G14&lt;=0,F14&lt;0,F14&gt;G14),"Lỗi nhập",F14/G14)))</x:f>
      </x:c>
      <x:c r="J14" s="21"/>
      <x:c r="K14" s="39"/>
      <x:c r="L14" s="40" t="str">
        <x:f>IF(NOT(OR(COUNT(F14:H14)&gt;0,LEN(F14&amp;G14&amp;H14)&gt;0)),"",IF(NOT(ISNUMBER(I14)),"Lỗi/thiếu số đúng-tổng",IF(OR(MOD(F14,1)&lt;&gt;0,MOD(G14,1)&lt;&gt;0),"Lỗi/thiếu số đúng-tổng",IF(OR(AND(B14&lt;&gt;"N4",B14&lt;&gt;"N3",B14&lt;&gt;"N2"),AND(C14&lt;&gt;"Từ và kanji",C14&lt;&gt;"Ngữ pháp",C14&lt;&gt;"Đọc",C14&lt;&gt;"Nghe")),"Sai cấp/kỹ năng",IF(OR(NOT(ISNUMBER(A14)),A14&lt;1),"Thiếu ngày đo",IF(D14="","Thiếu mã bài",IF(AND(E14&lt;&gt;"Mới",E14&lt;&gt;"Ôn lại"),"Thiếu loại câu",IF(OR(NOT(ISNUMBER(H14)),H14&lt;=0),"Thiếu phút",IF(AND(E14="Mới",COUNTIFS($B$8:$B$79,B14,$C$8:$C$79,C14,$D$8:$D$79,D14,$E$8:$E$79,"Mới",$G$8:$G$79,"&gt;0")&gt;1),"Trùng câu mới","Hợp lệ")))))))))</x:f>
      </x:c>
    </x:row>
    <x:row r="15" ht="25" customHeight="1">
      <x:c r="A15" s="28" t="n">
        <x:v>46310</x:v>
      </x:c>
      <x:c r="B15" s="20" t="str">
        <x:v>N3</x:v>
      </x:c>
      <x:c r="C15" s="20" t="str">
        <x:v>Nghe</x:v>
      </x:c>
      <x:c r="D15" s="21"/>
      <x:c r="E15" s="20"/>
      <x:c r="F15" s="24"/>
      <x:c r="G15" s="24"/>
      <x:c r="H15" s="24"/>
      <x:c r="I15" s="30" t="str">
        <x:f>IF(OR(ISBLANK(F15),ISBLANK(G15)),"",IF(OR(NOT(ISNUMBER(F15)),NOT(ISNUMBER(G15))),"Lỗi nhập",IF(OR(G15&lt;=0,F15&lt;0,F15&gt;G15),"Lỗi nhập",F15/G15)))</x:f>
      </x:c>
      <x:c r="J15" s="21"/>
      <x:c r="K15" s="39"/>
      <x:c r="L15" s="40" t="str">
        <x:f>IF(NOT(OR(COUNT(F15:H15)&gt;0,LEN(F15&amp;G15&amp;H15)&gt;0)),"",IF(NOT(ISNUMBER(I15)),"Lỗi/thiếu số đúng-tổng",IF(OR(MOD(F15,1)&lt;&gt;0,MOD(G15,1)&lt;&gt;0),"Lỗi/thiếu số đúng-tổng",IF(OR(AND(B15&lt;&gt;"N4",B15&lt;&gt;"N3",B15&lt;&gt;"N2"),AND(C15&lt;&gt;"Từ và kanji",C15&lt;&gt;"Ngữ pháp",C15&lt;&gt;"Đọc",C15&lt;&gt;"Nghe")),"Sai cấp/kỹ năng",IF(OR(NOT(ISNUMBER(A15)),A15&lt;1),"Thiếu ngày đo",IF(D15="","Thiếu mã bài",IF(AND(E15&lt;&gt;"Mới",E15&lt;&gt;"Ôn lại"),"Thiếu loại câu",IF(OR(NOT(ISNUMBER(H15)),H15&lt;=0),"Thiếu phút",IF(AND(E15="Mới",COUNTIFS($B$8:$B$79,B15,$C$8:$C$79,C15,$D$8:$D$79,D15,$E$8:$E$79,"Mới",$G$8:$G$79,"&gt;0")&gt;1),"Trùng câu mới","Hợp lệ")))))))))</x:f>
      </x:c>
    </x:row>
    <x:row r="16" ht="25" customHeight="1">
      <x:c r="A16" s="28" t="n">
        <x:v>46317</x:v>
      </x:c>
      <x:c r="B16" s="20" t="str">
        <x:v>N4</x:v>
      </x:c>
      <x:c r="C16" s="20" t="str">
        <x:v>Từ và kanji</x:v>
      </x:c>
      <x:c r="D16" s="21"/>
      <x:c r="E16" s="20"/>
      <x:c r="F16" s="24"/>
      <x:c r="G16" s="24"/>
      <x:c r="H16" s="24"/>
      <x:c r="I16" s="30" t="str">
        <x:f>IF(OR(ISBLANK(F16),ISBLANK(G16)),"",IF(OR(NOT(ISNUMBER(F16)),NOT(ISNUMBER(G16))),"Lỗi nhập",IF(OR(G16&lt;=0,F16&lt;0,F16&gt;G16),"Lỗi nhập",F16/G16)))</x:f>
      </x:c>
      <x:c r="J16" s="21"/>
      <x:c r="K16" s="39"/>
      <x:c r="L16" s="40" t="str">
        <x:f>IF(NOT(OR(COUNT(F16:H16)&gt;0,LEN(F16&amp;G16&amp;H16)&gt;0)),"",IF(NOT(ISNUMBER(I16)),"Lỗi/thiếu số đúng-tổng",IF(OR(MOD(F16,1)&lt;&gt;0,MOD(G16,1)&lt;&gt;0),"Lỗi/thiếu số đúng-tổng",IF(OR(AND(B16&lt;&gt;"N4",B16&lt;&gt;"N3",B16&lt;&gt;"N2"),AND(C16&lt;&gt;"Từ và kanji",C16&lt;&gt;"Ngữ pháp",C16&lt;&gt;"Đọc",C16&lt;&gt;"Nghe")),"Sai cấp/kỹ năng",IF(OR(NOT(ISNUMBER(A16)),A16&lt;1),"Thiếu ngày đo",IF(D16="","Thiếu mã bài",IF(AND(E16&lt;&gt;"Mới",E16&lt;&gt;"Ôn lại"),"Thiếu loại câu",IF(OR(NOT(ISNUMBER(H16)),H16&lt;=0),"Thiếu phút",IF(AND(E16="Mới",COUNTIFS($B$8:$B$79,B16,$C$8:$C$79,C16,$D$8:$D$79,D16,$E$8:$E$79,"Mới",$G$8:$G$79,"&gt;0")&gt;1),"Trùng câu mới","Hợp lệ")))))))))</x:f>
      </x:c>
    </x:row>
    <x:row r="17" ht="25" customHeight="1">
      <x:c r="A17" s="28" t="n">
        <x:v>46317</x:v>
      </x:c>
      <x:c r="B17" s="20" t="str">
        <x:v>N4</x:v>
      </x:c>
      <x:c r="C17" s="20" t="str">
        <x:v>Ngữ pháp</x:v>
      </x:c>
      <x:c r="D17" s="21"/>
      <x:c r="E17" s="20"/>
      <x:c r="F17" s="24"/>
      <x:c r="G17" s="24"/>
      <x:c r="H17" s="24"/>
      <x:c r="I17" s="30" t="str">
        <x:f>IF(OR(ISBLANK(F17),ISBLANK(G17)),"",IF(OR(NOT(ISNUMBER(F17)),NOT(ISNUMBER(G17))),"Lỗi nhập",IF(OR(G17&lt;=0,F17&lt;0,F17&gt;G17),"Lỗi nhập",F17/G17)))</x:f>
      </x:c>
      <x:c r="J17" s="21"/>
      <x:c r="K17" s="39"/>
      <x:c r="L17" s="40" t="str">
        <x:f>IF(NOT(OR(COUNT(F17:H17)&gt;0,LEN(F17&amp;G17&amp;H17)&gt;0)),"",IF(NOT(ISNUMBER(I17)),"Lỗi/thiếu số đúng-tổng",IF(OR(MOD(F17,1)&lt;&gt;0,MOD(G17,1)&lt;&gt;0),"Lỗi/thiếu số đúng-tổng",IF(OR(AND(B17&lt;&gt;"N4",B17&lt;&gt;"N3",B17&lt;&gt;"N2"),AND(C17&lt;&gt;"Từ và kanji",C17&lt;&gt;"Ngữ pháp",C17&lt;&gt;"Đọc",C17&lt;&gt;"Nghe")),"Sai cấp/kỹ năng",IF(OR(NOT(ISNUMBER(A17)),A17&lt;1),"Thiếu ngày đo",IF(D17="","Thiếu mã bài",IF(AND(E17&lt;&gt;"Mới",E17&lt;&gt;"Ôn lại"),"Thiếu loại câu",IF(OR(NOT(ISNUMBER(H17)),H17&lt;=0),"Thiếu phút",IF(AND(E17="Mới",COUNTIFS($B$8:$B$79,B17,$C$8:$C$79,C17,$D$8:$D$79,D17,$E$8:$E$79,"Mới",$G$8:$G$79,"&gt;0")&gt;1),"Trùng câu mới","Hợp lệ")))))))))</x:f>
      </x:c>
    </x:row>
    <x:row r="18" ht="25" customHeight="1">
      <x:c r="A18" s="28" t="n">
        <x:v>46317</x:v>
      </x:c>
      <x:c r="B18" s="20" t="str">
        <x:v>N4</x:v>
      </x:c>
      <x:c r="C18" s="20" t="str">
        <x:v>Đọc</x:v>
      </x:c>
      <x:c r="D18" s="21"/>
      <x:c r="E18" s="20"/>
      <x:c r="F18" s="24"/>
      <x:c r="G18" s="24"/>
      <x:c r="H18" s="24"/>
      <x:c r="I18" s="30" t="str">
        <x:f>IF(OR(ISBLANK(F18),ISBLANK(G18)),"",IF(OR(NOT(ISNUMBER(F18)),NOT(ISNUMBER(G18))),"Lỗi nhập",IF(OR(G18&lt;=0,F18&lt;0,F18&gt;G18),"Lỗi nhập",F18/G18)))</x:f>
      </x:c>
      <x:c r="J18" s="21"/>
      <x:c r="K18" s="39"/>
      <x:c r="L18" s="40" t="str">
        <x:f>IF(NOT(OR(COUNT(F18:H18)&gt;0,LEN(F18&amp;G18&amp;H18)&gt;0)),"",IF(NOT(ISNUMBER(I18)),"Lỗi/thiếu số đúng-tổng",IF(OR(MOD(F18,1)&lt;&gt;0,MOD(G18,1)&lt;&gt;0),"Lỗi/thiếu số đúng-tổng",IF(OR(AND(B18&lt;&gt;"N4",B18&lt;&gt;"N3",B18&lt;&gt;"N2"),AND(C18&lt;&gt;"Từ và kanji",C18&lt;&gt;"Ngữ pháp",C18&lt;&gt;"Đọc",C18&lt;&gt;"Nghe")),"Sai cấp/kỹ năng",IF(OR(NOT(ISNUMBER(A18)),A18&lt;1),"Thiếu ngày đo",IF(D18="","Thiếu mã bài",IF(AND(E18&lt;&gt;"Mới",E18&lt;&gt;"Ôn lại"),"Thiếu loại câu",IF(OR(NOT(ISNUMBER(H18)),H18&lt;=0),"Thiếu phút",IF(AND(E18="Mới",COUNTIFS($B$8:$B$79,B18,$C$8:$C$79,C18,$D$8:$D$79,D18,$E$8:$E$79,"Mới",$G$8:$G$79,"&gt;0")&gt;1),"Trùng câu mới","Hợp lệ")))))))))</x:f>
      </x:c>
    </x:row>
    <x:row r="19" ht="25" customHeight="1">
      <x:c r="A19" s="28" t="n">
        <x:v>46317</x:v>
      </x:c>
      <x:c r="B19" s="20" t="str">
        <x:v>N4</x:v>
      </x:c>
      <x:c r="C19" s="20" t="str">
        <x:v>Nghe</x:v>
      </x:c>
      <x:c r="D19" s="21"/>
      <x:c r="E19" s="20"/>
      <x:c r="F19" s="24"/>
      <x:c r="G19" s="24"/>
      <x:c r="H19" s="24"/>
      <x:c r="I19" s="30" t="str">
        <x:f>IF(OR(ISBLANK(F19),ISBLANK(G19)),"",IF(OR(NOT(ISNUMBER(F19)),NOT(ISNUMBER(G19))),"Lỗi nhập",IF(OR(G19&lt;=0,F19&lt;0,F19&gt;G19),"Lỗi nhập",F19/G19)))</x:f>
      </x:c>
      <x:c r="J19" s="21"/>
      <x:c r="K19" s="39"/>
      <x:c r="L19" s="40" t="str">
        <x:f>IF(NOT(OR(COUNT(F19:H19)&gt;0,LEN(F19&amp;G19&amp;H19)&gt;0)),"",IF(NOT(ISNUMBER(I19)),"Lỗi/thiếu số đúng-tổng",IF(OR(MOD(F19,1)&lt;&gt;0,MOD(G19,1)&lt;&gt;0),"Lỗi/thiếu số đúng-tổng",IF(OR(AND(B19&lt;&gt;"N4",B19&lt;&gt;"N3",B19&lt;&gt;"N2"),AND(C19&lt;&gt;"Từ và kanji",C19&lt;&gt;"Ngữ pháp",C19&lt;&gt;"Đọc",C19&lt;&gt;"Nghe")),"Sai cấp/kỹ năng",IF(OR(NOT(ISNUMBER(A19)),A19&lt;1),"Thiếu ngày đo",IF(D19="","Thiếu mã bài",IF(AND(E19&lt;&gt;"Mới",E19&lt;&gt;"Ôn lại"),"Thiếu loại câu",IF(OR(NOT(ISNUMBER(H19)),H19&lt;=0),"Thiếu phút",IF(AND(E19="Mới",COUNTIFS($B$8:$B$79,B19,$C$8:$C$79,C19,$D$8:$D$79,D19,$E$8:$E$79,"Mới",$G$8:$G$79,"&gt;0")&gt;1),"Trùng câu mới","Hợp lệ")))))))))</x:f>
      </x:c>
    </x:row>
    <x:row r="20" ht="25" customHeight="1">
      <x:c r="A20" s="28" t="n">
        <x:v>46317</x:v>
      </x:c>
      <x:c r="B20" s="20" t="str">
        <x:v>N3</x:v>
      </x:c>
      <x:c r="C20" s="20" t="str">
        <x:v>Từ và kanji</x:v>
      </x:c>
      <x:c r="D20" s="21"/>
      <x:c r="E20" s="20"/>
      <x:c r="F20" s="24"/>
      <x:c r="G20" s="24"/>
      <x:c r="H20" s="24"/>
      <x:c r="I20" s="30" t="str">
        <x:f>IF(OR(ISBLANK(F20),ISBLANK(G20)),"",IF(OR(NOT(ISNUMBER(F20)),NOT(ISNUMBER(G20))),"Lỗi nhập",IF(OR(G20&lt;=0,F20&lt;0,F20&gt;G20),"Lỗi nhập",F20/G20)))</x:f>
      </x:c>
      <x:c r="J20" s="21"/>
      <x:c r="K20" s="39"/>
      <x:c r="L20" s="40" t="str">
        <x:f>IF(NOT(OR(COUNT(F20:H20)&gt;0,LEN(F20&amp;G20&amp;H20)&gt;0)),"",IF(NOT(ISNUMBER(I20)),"Lỗi/thiếu số đúng-tổng",IF(OR(MOD(F20,1)&lt;&gt;0,MOD(G20,1)&lt;&gt;0),"Lỗi/thiếu số đúng-tổng",IF(OR(AND(B20&lt;&gt;"N4",B20&lt;&gt;"N3",B20&lt;&gt;"N2"),AND(C20&lt;&gt;"Từ và kanji",C20&lt;&gt;"Ngữ pháp",C20&lt;&gt;"Đọc",C20&lt;&gt;"Nghe")),"Sai cấp/kỹ năng",IF(OR(NOT(ISNUMBER(A20)),A20&lt;1),"Thiếu ngày đo",IF(D20="","Thiếu mã bài",IF(AND(E20&lt;&gt;"Mới",E20&lt;&gt;"Ôn lại"),"Thiếu loại câu",IF(OR(NOT(ISNUMBER(H20)),H20&lt;=0),"Thiếu phút",IF(AND(E20="Mới",COUNTIFS($B$8:$B$79,B20,$C$8:$C$79,C20,$D$8:$D$79,D20,$E$8:$E$79,"Mới",$G$8:$G$79,"&gt;0")&gt;1),"Trùng câu mới","Hợp lệ")))))))))</x:f>
      </x:c>
    </x:row>
    <x:row r="21" ht="25" customHeight="1">
      <x:c r="A21" s="28" t="n">
        <x:v>46317</x:v>
      </x:c>
      <x:c r="B21" s="20" t="str">
        <x:v>N3</x:v>
      </x:c>
      <x:c r="C21" s="20" t="str">
        <x:v>Ngữ pháp</x:v>
      </x:c>
      <x:c r="D21" s="21"/>
      <x:c r="E21" s="20"/>
      <x:c r="F21" s="24"/>
      <x:c r="G21" s="24"/>
      <x:c r="H21" s="24"/>
      <x:c r="I21" s="30" t="str">
        <x:f>IF(OR(ISBLANK(F21),ISBLANK(G21)),"",IF(OR(NOT(ISNUMBER(F21)),NOT(ISNUMBER(G21))),"Lỗi nhập",IF(OR(G21&lt;=0,F21&lt;0,F21&gt;G21),"Lỗi nhập",F21/G21)))</x:f>
      </x:c>
      <x:c r="J21" s="21"/>
      <x:c r="K21" s="39"/>
      <x:c r="L21" s="40" t="str">
        <x:f>IF(NOT(OR(COUNT(F21:H21)&gt;0,LEN(F21&amp;G21&amp;H21)&gt;0)),"",IF(NOT(ISNUMBER(I21)),"Lỗi/thiếu số đúng-tổng",IF(OR(MOD(F21,1)&lt;&gt;0,MOD(G21,1)&lt;&gt;0),"Lỗi/thiếu số đúng-tổng",IF(OR(AND(B21&lt;&gt;"N4",B21&lt;&gt;"N3",B21&lt;&gt;"N2"),AND(C21&lt;&gt;"Từ và kanji",C21&lt;&gt;"Ngữ pháp",C21&lt;&gt;"Đọc",C21&lt;&gt;"Nghe")),"Sai cấp/kỹ năng",IF(OR(NOT(ISNUMBER(A21)),A21&lt;1),"Thiếu ngày đo",IF(D21="","Thiếu mã bài",IF(AND(E21&lt;&gt;"Mới",E21&lt;&gt;"Ôn lại"),"Thiếu loại câu",IF(OR(NOT(ISNUMBER(H21)),H21&lt;=0),"Thiếu phút",IF(AND(E21="Mới",COUNTIFS($B$8:$B$79,B21,$C$8:$C$79,C21,$D$8:$D$79,D21,$E$8:$E$79,"Mới",$G$8:$G$79,"&gt;0")&gt;1),"Trùng câu mới","Hợp lệ")))))))))</x:f>
      </x:c>
    </x:row>
    <x:row r="22" ht="25" customHeight="1">
      <x:c r="A22" s="28" t="n">
        <x:v>46317</x:v>
      </x:c>
      <x:c r="B22" s="20" t="str">
        <x:v>N3</x:v>
      </x:c>
      <x:c r="C22" s="20" t="str">
        <x:v>Đọc</x:v>
      </x:c>
      <x:c r="D22" s="21"/>
      <x:c r="E22" s="20"/>
      <x:c r="F22" s="24"/>
      <x:c r="G22" s="24"/>
      <x:c r="H22" s="24"/>
      <x:c r="I22" s="30" t="str">
        <x:f>IF(OR(ISBLANK(F22),ISBLANK(G22)),"",IF(OR(NOT(ISNUMBER(F22)),NOT(ISNUMBER(G22))),"Lỗi nhập",IF(OR(G22&lt;=0,F22&lt;0,F22&gt;G22),"Lỗi nhập",F22/G22)))</x:f>
      </x:c>
      <x:c r="J22" s="21"/>
      <x:c r="K22" s="39"/>
      <x:c r="L22" s="40" t="str">
        <x:f>IF(NOT(OR(COUNT(F22:H22)&gt;0,LEN(F22&amp;G22&amp;H22)&gt;0)),"",IF(NOT(ISNUMBER(I22)),"Lỗi/thiếu số đúng-tổng",IF(OR(MOD(F22,1)&lt;&gt;0,MOD(G22,1)&lt;&gt;0),"Lỗi/thiếu số đúng-tổng",IF(OR(AND(B22&lt;&gt;"N4",B22&lt;&gt;"N3",B22&lt;&gt;"N2"),AND(C22&lt;&gt;"Từ và kanji",C22&lt;&gt;"Ngữ pháp",C22&lt;&gt;"Đọc",C22&lt;&gt;"Nghe")),"Sai cấp/kỹ năng",IF(OR(NOT(ISNUMBER(A22)),A22&lt;1),"Thiếu ngày đo",IF(D22="","Thiếu mã bài",IF(AND(E22&lt;&gt;"Mới",E22&lt;&gt;"Ôn lại"),"Thiếu loại câu",IF(OR(NOT(ISNUMBER(H22)),H22&lt;=0),"Thiếu phút",IF(AND(E22="Mới",COUNTIFS($B$8:$B$79,B22,$C$8:$C$79,C22,$D$8:$D$79,D22,$E$8:$E$79,"Mới",$G$8:$G$79,"&gt;0")&gt;1),"Trùng câu mới","Hợp lệ")))))))))</x:f>
      </x:c>
    </x:row>
    <x:row r="23" ht="25" customHeight="1">
      <x:c r="A23" s="28" t="n">
        <x:v>46317</x:v>
      </x:c>
      <x:c r="B23" s="20" t="str">
        <x:v>N3</x:v>
      </x:c>
      <x:c r="C23" s="20" t="str">
        <x:v>Nghe</x:v>
      </x:c>
      <x:c r="D23" s="21"/>
      <x:c r="E23" s="20"/>
      <x:c r="F23" s="24"/>
      <x:c r="G23" s="24"/>
      <x:c r="H23" s="24"/>
      <x:c r="I23" s="30" t="str">
        <x:f>IF(OR(ISBLANK(F23),ISBLANK(G23)),"",IF(OR(NOT(ISNUMBER(F23)),NOT(ISNUMBER(G23))),"Lỗi nhập",IF(OR(G23&lt;=0,F23&lt;0,F23&gt;G23),"Lỗi nhập",F23/G23)))</x:f>
      </x:c>
      <x:c r="J23" s="21"/>
      <x:c r="K23" s="39"/>
      <x:c r="L23" s="40" t="str">
        <x:f>IF(NOT(OR(COUNT(F23:H23)&gt;0,LEN(F23&amp;G23&amp;H23)&gt;0)),"",IF(NOT(ISNUMBER(I23)),"Lỗi/thiếu số đúng-tổng",IF(OR(MOD(F23,1)&lt;&gt;0,MOD(G23,1)&lt;&gt;0),"Lỗi/thiếu số đúng-tổng",IF(OR(AND(B23&lt;&gt;"N4",B23&lt;&gt;"N3",B23&lt;&gt;"N2"),AND(C23&lt;&gt;"Từ và kanji",C23&lt;&gt;"Ngữ pháp",C23&lt;&gt;"Đọc",C23&lt;&gt;"Nghe")),"Sai cấp/kỹ năng",IF(OR(NOT(ISNUMBER(A23)),A23&lt;1),"Thiếu ngày đo",IF(D23="","Thiếu mã bài",IF(AND(E23&lt;&gt;"Mới",E23&lt;&gt;"Ôn lại"),"Thiếu loại câu",IF(OR(NOT(ISNUMBER(H23)),H23&lt;=0),"Thiếu phút",IF(AND(E23="Mới",COUNTIFS($B$8:$B$79,B23,$C$8:$C$79,C23,$D$8:$D$79,D23,$E$8:$E$79,"Mới",$G$8:$G$79,"&gt;0")&gt;1),"Trùng câu mới","Hợp lệ")))))))))</x:f>
      </x:c>
    </x:row>
    <x:row r="24" ht="25" customHeight="1">
      <x:c r="A24" s="28" t="n">
        <x:v>46324</x:v>
      </x:c>
      <x:c r="B24" s="20" t="str">
        <x:v>N4</x:v>
      </x:c>
      <x:c r="C24" s="20" t="str">
        <x:v>Từ và kanji</x:v>
      </x:c>
      <x:c r="D24" s="21"/>
      <x:c r="E24" s="20"/>
      <x:c r="F24" s="24"/>
      <x:c r="G24" s="24"/>
      <x:c r="H24" s="24"/>
      <x:c r="I24" s="30" t="str">
        <x:f>IF(OR(ISBLANK(F24),ISBLANK(G24)),"",IF(OR(NOT(ISNUMBER(F24)),NOT(ISNUMBER(G24))),"Lỗi nhập",IF(OR(G24&lt;=0,F24&lt;0,F24&gt;G24),"Lỗi nhập",F24/G24)))</x:f>
      </x:c>
      <x:c r="J24" s="21"/>
      <x:c r="K24" s="39"/>
      <x:c r="L24" s="40" t="str">
        <x:f>IF(NOT(OR(COUNT(F24:H24)&gt;0,LEN(F24&amp;G24&amp;H24)&gt;0)),"",IF(NOT(ISNUMBER(I24)),"Lỗi/thiếu số đúng-tổng",IF(OR(MOD(F24,1)&lt;&gt;0,MOD(G24,1)&lt;&gt;0),"Lỗi/thiếu số đúng-tổng",IF(OR(AND(B24&lt;&gt;"N4",B24&lt;&gt;"N3",B24&lt;&gt;"N2"),AND(C24&lt;&gt;"Từ và kanji",C24&lt;&gt;"Ngữ pháp",C24&lt;&gt;"Đọc",C24&lt;&gt;"Nghe")),"Sai cấp/kỹ năng",IF(OR(NOT(ISNUMBER(A24)),A24&lt;1),"Thiếu ngày đo",IF(D24="","Thiếu mã bài",IF(AND(E24&lt;&gt;"Mới",E24&lt;&gt;"Ôn lại"),"Thiếu loại câu",IF(OR(NOT(ISNUMBER(H24)),H24&lt;=0),"Thiếu phút",IF(AND(E24="Mới",COUNTIFS($B$8:$B$79,B24,$C$8:$C$79,C24,$D$8:$D$79,D24,$E$8:$E$79,"Mới",$G$8:$G$79,"&gt;0")&gt;1),"Trùng câu mới","Hợp lệ")))))))))</x:f>
      </x:c>
    </x:row>
    <x:row r="25" ht="25" customHeight="1">
      <x:c r="A25" s="28" t="n">
        <x:v>46324</x:v>
      </x:c>
      <x:c r="B25" s="20" t="str">
        <x:v>N4</x:v>
      </x:c>
      <x:c r="C25" s="20" t="str">
        <x:v>Ngữ pháp</x:v>
      </x:c>
      <x:c r="D25" s="21"/>
      <x:c r="E25" s="20"/>
      <x:c r="F25" s="24"/>
      <x:c r="G25" s="24"/>
      <x:c r="H25" s="24"/>
      <x:c r="I25" s="30" t="str">
        <x:f>IF(OR(ISBLANK(F25),ISBLANK(G25)),"",IF(OR(NOT(ISNUMBER(F25)),NOT(ISNUMBER(G25))),"Lỗi nhập",IF(OR(G25&lt;=0,F25&lt;0,F25&gt;G25),"Lỗi nhập",F25/G25)))</x:f>
      </x:c>
      <x:c r="J25" s="21"/>
      <x:c r="K25" s="39"/>
      <x:c r="L25" s="40" t="str">
        <x:f>IF(NOT(OR(COUNT(F25:H25)&gt;0,LEN(F25&amp;G25&amp;H25)&gt;0)),"",IF(NOT(ISNUMBER(I25)),"Lỗi/thiếu số đúng-tổng",IF(OR(MOD(F25,1)&lt;&gt;0,MOD(G25,1)&lt;&gt;0),"Lỗi/thiếu số đúng-tổng",IF(OR(AND(B25&lt;&gt;"N4",B25&lt;&gt;"N3",B25&lt;&gt;"N2"),AND(C25&lt;&gt;"Từ và kanji",C25&lt;&gt;"Ngữ pháp",C25&lt;&gt;"Đọc",C25&lt;&gt;"Nghe")),"Sai cấp/kỹ năng",IF(OR(NOT(ISNUMBER(A25)),A25&lt;1),"Thiếu ngày đo",IF(D25="","Thiếu mã bài",IF(AND(E25&lt;&gt;"Mới",E25&lt;&gt;"Ôn lại"),"Thiếu loại câu",IF(OR(NOT(ISNUMBER(H25)),H25&lt;=0),"Thiếu phút",IF(AND(E25="Mới",COUNTIFS($B$8:$B$79,B25,$C$8:$C$79,C25,$D$8:$D$79,D25,$E$8:$E$79,"Mới",$G$8:$G$79,"&gt;0")&gt;1),"Trùng câu mới","Hợp lệ")))))))))</x:f>
      </x:c>
    </x:row>
    <x:row r="26" ht="25" customHeight="1">
      <x:c r="A26" s="28" t="n">
        <x:v>46324</x:v>
      </x:c>
      <x:c r="B26" s="20" t="str">
        <x:v>N4</x:v>
      </x:c>
      <x:c r="C26" s="20" t="str">
        <x:v>Đọc</x:v>
      </x:c>
      <x:c r="D26" s="21"/>
      <x:c r="E26" s="20"/>
      <x:c r="F26" s="24"/>
      <x:c r="G26" s="24"/>
      <x:c r="H26" s="24"/>
      <x:c r="I26" s="30" t="str">
        <x:f>IF(OR(ISBLANK(F26),ISBLANK(G26)),"",IF(OR(NOT(ISNUMBER(F26)),NOT(ISNUMBER(G26))),"Lỗi nhập",IF(OR(G26&lt;=0,F26&lt;0,F26&gt;G26),"Lỗi nhập",F26/G26)))</x:f>
      </x:c>
      <x:c r="J26" s="21"/>
      <x:c r="K26" s="39"/>
      <x:c r="L26" s="40" t="str">
        <x:f>IF(NOT(OR(COUNT(F26:H26)&gt;0,LEN(F26&amp;G26&amp;H26)&gt;0)),"",IF(NOT(ISNUMBER(I26)),"Lỗi/thiếu số đúng-tổng",IF(OR(MOD(F26,1)&lt;&gt;0,MOD(G26,1)&lt;&gt;0),"Lỗi/thiếu số đúng-tổng",IF(OR(AND(B26&lt;&gt;"N4",B26&lt;&gt;"N3",B26&lt;&gt;"N2"),AND(C26&lt;&gt;"Từ và kanji",C26&lt;&gt;"Ngữ pháp",C26&lt;&gt;"Đọc",C26&lt;&gt;"Nghe")),"Sai cấp/kỹ năng",IF(OR(NOT(ISNUMBER(A26)),A26&lt;1),"Thiếu ngày đo",IF(D26="","Thiếu mã bài",IF(AND(E26&lt;&gt;"Mới",E26&lt;&gt;"Ôn lại"),"Thiếu loại câu",IF(OR(NOT(ISNUMBER(H26)),H26&lt;=0),"Thiếu phút",IF(AND(E26="Mới",COUNTIFS($B$8:$B$79,B26,$C$8:$C$79,C26,$D$8:$D$79,D26,$E$8:$E$79,"Mới",$G$8:$G$79,"&gt;0")&gt;1),"Trùng câu mới","Hợp lệ")))))))))</x:f>
      </x:c>
    </x:row>
    <x:row r="27" ht="25" customHeight="1">
      <x:c r="A27" s="28" t="n">
        <x:v>46324</x:v>
      </x:c>
      <x:c r="B27" s="20" t="str">
        <x:v>N4</x:v>
      </x:c>
      <x:c r="C27" s="20" t="str">
        <x:v>Nghe</x:v>
      </x:c>
      <x:c r="D27" s="21"/>
      <x:c r="E27" s="20"/>
      <x:c r="F27" s="24"/>
      <x:c r="G27" s="24"/>
      <x:c r="H27" s="24"/>
      <x:c r="I27" s="30" t="str">
        <x:f>IF(OR(ISBLANK(F27),ISBLANK(G27)),"",IF(OR(NOT(ISNUMBER(F27)),NOT(ISNUMBER(G27))),"Lỗi nhập",IF(OR(G27&lt;=0,F27&lt;0,F27&gt;G27),"Lỗi nhập",F27/G27)))</x:f>
      </x:c>
      <x:c r="J27" s="21"/>
      <x:c r="K27" s="39"/>
      <x:c r="L27" s="40" t="str">
        <x:f>IF(NOT(OR(COUNT(F27:H27)&gt;0,LEN(F27&amp;G27&amp;H27)&gt;0)),"",IF(NOT(ISNUMBER(I27)),"Lỗi/thiếu số đúng-tổng",IF(OR(MOD(F27,1)&lt;&gt;0,MOD(G27,1)&lt;&gt;0),"Lỗi/thiếu số đúng-tổng",IF(OR(AND(B27&lt;&gt;"N4",B27&lt;&gt;"N3",B27&lt;&gt;"N2"),AND(C27&lt;&gt;"Từ và kanji",C27&lt;&gt;"Ngữ pháp",C27&lt;&gt;"Đọc",C27&lt;&gt;"Nghe")),"Sai cấp/kỹ năng",IF(OR(NOT(ISNUMBER(A27)),A27&lt;1),"Thiếu ngày đo",IF(D27="","Thiếu mã bài",IF(AND(E27&lt;&gt;"Mới",E27&lt;&gt;"Ôn lại"),"Thiếu loại câu",IF(OR(NOT(ISNUMBER(H27)),H27&lt;=0),"Thiếu phút",IF(AND(E27="Mới",COUNTIFS($B$8:$B$79,B27,$C$8:$C$79,C27,$D$8:$D$79,D27,$E$8:$E$79,"Mới",$G$8:$G$79,"&gt;0")&gt;1),"Trùng câu mới","Hợp lệ")))))))))</x:f>
      </x:c>
    </x:row>
    <x:row r="28" ht="25" customHeight="1">
      <x:c r="A28" s="28" t="n">
        <x:v>46324</x:v>
      </x:c>
      <x:c r="B28" s="20" t="str">
        <x:v>N3</x:v>
      </x:c>
      <x:c r="C28" s="20" t="str">
        <x:v>Từ và kanji</x:v>
      </x:c>
      <x:c r="D28" s="21"/>
      <x:c r="E28" s="20"/>
      <x:c r="F28" s="24"/>
      <x:c r="G28" s="24"/>
      <x:c r="H28" s="24"/>
      <x:c r="I28" s="30" t="str">
        <x:f>IF(OR(ISBLANK(F28),ISBLANK(G28)),"",IF(OR(NOT(ISNUMBER(F28)),NOT(ISNUMBER(G28))),"Lỗi nhập",IF(OR(G28&lt;=0,F28&lt;0,F28&gt;G28),"Lỗi nhập",F28/G28)))</x:f>
      </x:c>
      <x:c r="J28" s="21"/>
      <x:c r="K28" s="39"/>
      <x:c r="L28" s="40" t="str">
        <x:f>IF(NOT(OR(COUNT(F28:H28)&gt;0,LEN(F28&amp;G28&amp;H28)&gt;0)),"",IF(NOT(ISNUMBER(I28)),"Lỗi/thiếu số đúng-tổng",IF(OR(MOD(F28,1)&lt;&gt;0,MOD(G28,1)&lt;&gt;0),"Lỗi/thiếu số đúng-tổng",IF(OR(AND(B28&lt;&gt;"N4",B28&lt;&gt;"N3",B28&lt;&gt;"N2"),AND(C28&lt;&gt;"Từ và kanji",C28&lt;&gt;"Ngữ pháp",C28&lt;&gt;"Đọc",C28&lt;&gt;"Nghe")),"Sai cấp/kỹ năng",IF(OR(NOT(ISNUMBER(A28)),A28&lt;1),"Thiếu ngày đo",IF(D28="","Thiếu mã bài",IF(AND(E28&lt;&gt;"Mới",E28&lt;&gt;"Ôn lại"),"Thiếu loại câu",IF(OR(NOT(ISNUMBER(H28)),H28&lt;=0),"Thiếu phút",IF(AND(E28="Mới",COUNTIFS($B$8:$B$79,B28,$C$8:$C$79,C28,$D$8:$D$79,D28,$E$8:$E$79,"Mới",$G$8:$G$79,"&gt;0")&gt;1),"Trùng câu mới","Hợp lệ")))))))))</x:f>
      </x:c>
    </x:row>
    <x:row r="29" ht="25" customHeight="1">
      <x:c r="A29" s="28" t="n">
        <x:v>46324</x:v>
      </x:c>
      <x:c r="B29" s="20" t="str">
        <x:v>N3</x:v>
      </x:c>
      <x:c r="C29" s="20" t="str">
        <x:v>Ngữ pháp</x:v>
      </x:c>
      <x:c r="D29" s="21"/>
      <x:c r="E29" s="20"/>
      <x:c r="F29" s="24"/>
      <x:c r="G29" s="24"/>
      <x:c r="H29" s="24"/>
      <x:c r="I29" s="30" t="str">
        <x:f>IF(OR(ISBLANK(F29),ISBLANK(G29)),"",IF(OR(NOT(ISNUMBER(F29)),NOT(ISNUMBER(G29))),"Lỗi nhập",IF(OR(G29&lt;=0,F29&lt;0,F29&gt;G29),"Lỗi nhập",F29/G29)))</x:f>
      </x:c>
      <x:c r="J29" s="21"/>
      <x:c r="K29" s="39"/>
      <x:c r="L29" s="40" t="str">
        <x:f>IF(NOT(OR(COUNT(F29:H29)&gt;0,LEN(F29&amp;G29&amp;H29)&gt;0)),"",IF(NOT(ISNUMBER(I29)),"Lỗi/thiếu số đúng-tổng",IF(OR(MOD(F29,1)&lt;&gt;0,MOD(G29,1)&lt;&gt;0),"Lỗi/thiếu số đúng-tổng",IF(OR(AND(B29&lt;&gt;"N4",B29&lt;&gt;"N3",B29&lt;&gt;"N2"),AND(C29&lt;&gt;"Từ và kanji",C29&lt;&gt;"Ngữ pháp",C29&lt;&gt;"Đọc",C29&lt;&gt;"Nghe")),"Sai cấp/kỹ năng",IF(OR(NOT(ISNUMBER(A29)),A29&lt;1),"Thiếu ngày đo",IF(D29="","Thiếu mã bài",IF(AND(E29&lt;&gt;"Mới",E29&lt;&gt;"Ôn lại"),"Thiếu loại câu",IF(OR(NOT(ISNUMBER(H29)),H29&lt;=0),"Thiếu phút",IF(AND(E29="Mới",COUNTIFS($B$8:$B$79,B29,$C$8:$C$79,C29,$D$8:$D$79,D29,$E$8:$E$79,"Mới",$G$8:$G$79,"&gt;0")&gt;1),"Trùng câu mới","Hợp lệ")))))))))</x:f>
      </x:c>
    </x:row>
    <x:row r="30" ht="25" customHeight="1">
      <x:c r="A30" s="28" t="n">
        <x:v>46324</x:v>
      </x:c>
      <x:c r="B30" s="20" t="str">
        <x:v>N3</x:v>
      </x:c>
      <x:c r="C30" s="20" t="str">
        <x:v>Đọc</x:v>
      </x:c>
      <x:c r="D30" s="21"/>
      <x:c r="E30" s="20"/>
      <x:c r="F30" s="24"/>
      <x:c r="G30" s="24"/>
      <x:c r="H30" s="24"/>
      <x:c r="I30" s="30" t="str">
        <x:f>IF(OR(ISBLANK(F30),ISBLANK(G30)),"",IF(OR(NOT(ISNUMBER(F30)),NOT(ISNUMBER(G30))),"Lỗi nhập",IF(OR(G30&lt;=0,F30&lt;0,F30&gt;G30),"Lỗi nhập",F30/G30)))</x:f>
      </x:c>
      <x:c r="J30" s="21"/>
      <x:c r="K30" s="39"/>
      <x:c r="L30" s="40" t="str">
        <x:f>IF(NOT(OR(COUNT(F30:H30)&gt;0,LEN(F30&amp;G30&amp;H30)&gt;0)),"",IF(NOT(ISNUMBER(I30)),"Lỗi/thiếu số đúng-tổng",IF(OR(MOD(F30,1)&lt;&gt;0,MOD(G30,1)&lt;&gt;0),"Lỗi/thiếu số đúng-tổng",IF(OR(AND(B30&lt;&gt;"N4",B30&lt;&gt;"N3",B30&lt;&gt;"N2"),AND(C30&lt;&gt;"Từ và kanji",C30&lt;&gt;"Ngữ pháp",C30&lt;&gt;"Đọc",C30&lt;&gt;"Nghe")),"Sai cấp/kỹ năng",IF(OR(NOT(ISNUMBER(A30)),A30&lt;1),"Thiếu ngày đo",IF(D30="","Thiếu mã bài",IF(AND(E30&lt;&gt;"Mới",E30&lt;&gt;"Ôn lại"),"Thiếu loại câu",IF(OR(NOT(ISNUMBER(H30)),H30&lt;=0),"Thiếu phút",IF(AND(E30="Mới",COUNTIFS($B$8:$B$79,B30,$C$8:$C$79,C30,$D$8:$D$79,D30,$E$8:$E$79,"Mới",$G$8:$G$79,"&gt;0")&gt;1),"Trùng câu mới","Hợp lệ")))))))))</x:f>
      </x:c>
    </x:row>
    <x:row r="31" ht="25" customHeight="1">
      <x:c r="A31" s="28" t="n">
        <x:v>46324</x:v>
      </x:c>
      <x:c r="B31" s="20" t="str">
        <x:v>N3</x:v>
      </x:c>
      <x:c r="C31" s="20" t="str">
        <x:v>Nghe</x:v>
      </x:c>
      <x:c r="D31" s="21"/>
      <x:c r="E31" s="20"/>
      <x:c r="F31" s="24"/>
      <x:c r="G31" s="24"/>
      <x:c r="H31" s="24"/>
      <x:c r="I31" s="30" t="str">
        <x:f>IF(OR(ISBLANK(F31),ISBLANK(G31)),"",IF(OR(NOT(ISNUMBER(F31)),NOT(ISNUMBER(G31))),"Lỗi nhập",IF(OR(G31&lt;=0,F31&lt;0,F31&gt;G31),"Lỗi nhập",F31/G31)))</x:f>
      </x:c>
      <x:c r="J31" s="21"/>
      <x:c r="K31" s="39"/>
      <x:c r="L31" s="40" t="str">
        <x:f>IF(NOT(OR(COUNT(F31:H31)&gt;0,LEN(F31&amp;G31&amp;H31)&gt;0)),"",IF(NOT(ISNUMBER(I31)),"Lỗi/thiếu số đúng-tổng",IF(OR(MOD(F31,1)&lt;&gt;0,MOD(G31,1)&lt;&gt;0),"Lỗi/thiếu số đúng-tổng",IF(OR(AND(B31&lt;&gt;"N4",B31&lt;&gt;"N3",B31&lt;&gt;"N2"),AND(C31&lt;&gt;"Từ và kanji",C31&lt;&gt;"Ngữ pháp",C31&lt;&gt;"Đọc",C31&lt;&gt;"Nghe")),"Sai cấp/kỹ năng",IF(OR(NOT(ISNUMBER(A31)),A31&lt;1),"Thiếu ngày đo",IF(D31="","Thiếu mã bài",IF(AND(E31&lt;&gt;"Mới",E31&lt;&gt;"Ôn lại"),"Thiếu loại câu",IF(OR(NOT(ISNUMBER(H31)),H31&lt;=0),"Thiếu phút",IF(AND(E31="Mới",COUNTIFS($B$8:$B$79,B31,$C$8:$C$79,C31,$D$8:$D$79,D31,$E$8:$E$79,"Mới",$G$8:$G$79,"&gt;0")&gt;1),"Trùng câu mới","Hợp lệ")))))))))</x:f>
      </x:c>
    </x:row>
    <x:row r="32" ht="25" customHeight="1">
      <x:c r="A32" s="28" t="n">
        <x:v>46331</x:v>
      </x:c>
      <x:c r="B32" s="20" t="str">
        <x:v>N4</x:v>
      </x:c>
      <x:c r="C32" s="20" t="str">
        <x:v>Từ và kanji</x:v>
      </x:c>
      <x:c r="D32" s="21"/>
      <x:c r="E32" s="20"/>
      <x:c r="F32" s="24"/>
      <x:c r="G32" s="24"/>
      <x:c r="H32" s="24"/>
      <x:c r="I32" s="30" t="str">
        <x:f>IF(OR(ISBLANK(F32),ISBLANK(G32)),"",IF(OR(NOT(ISNUMBER(F32)),NOT(ISNUMBER(G32))),"Lỗi nhập",IF(OR(G32&lt;=0,F32&lt;0,F32&gt;G32),"Lỗi nhập",F32/G32)))</x:f>
      </x:c>
      <x:c r="J32" s="21"/>
      <x:c r="K32" s="39"/>
      <x:c r="L32" s="40" t="str">
        <x:f>IF(NOT(OR(COUNT(F32:H32)&gt;0,LEN(F32&amp;G32&amp;H32)&gt;0)),"",IF(NOT(ISNUMBER(I32)),"Lỗi/thiếu số đúng-tổng",IF(OR(MOD(F32,1)&lt;&gt;0,MOD(G32,1)&lt;&gt;0),"Lỗi/thiếu số đúng-tổng",IF(OR(AND(B32&lt;&gt;"N4",B32&lt;&gt;"N3",B32&lt;&gt;"N2"),AND(C32&lt;&gt;"Từ và kanji",C32&lt;&gt;"Ngữ pháp",C32&lt;&gt;"Đọc",C32&lt;&gt;"Nghe")),"Sai cấp/kỹ năng",IF(OR(NOT(ISNUMBER(A32)),A32&lt;1),"Thiếu ngày đo",IF(D32="","Thiếu mã bài",IF(AND(E32&lt;&gt;"Mới",E32&lt;&gt;"Ôn lại"),"Thiếu loại câu",IF(OR(NOT(ISNUMBER(H32)),H32&lt;=0),"Thiếu phút",IF(AND(E32="Mới",COUNTIFS($B$8:$B$79,B32,$C$8:$C$79,C32,$D$8:$D$79,D32,$E$8:$E$79,"Mới",$G$8:$G$79,"&gt;0")&gt;1),"Trùng câu mới","Hợp lệ")))))))))</x:f>
      </x:c>
    </x:row>
    <x:row r="33" ht="25" customHeight="1">
      <x:c r="A33" s="28" t="n">
        <x:v>46331</x:v>
      </x:c>
      <x:c r="B33" s="20" t="str">
        <x:v>N4</x:v>
      </x:c>
      <x:c r="C33" s="20" t="str">
        <x:v>Ngữ pháp</x:v>
      </x:c>
      <x:c r="D33" s="21"/>
      <x:c r="E33" s="20"/>
      <x:c r="F33" s="24"/>
      <x:c r="G33" s="24"/>
      <x:c r="H33" s="24"/>
      <x:c r="I33" s="30" t="str">
        <x:f>IF(OR(ISBLANK(F33),ISBLANK(G33)),"",IF(OR(NOT(ISNUMBER(F33)),NOT(ISNUMBER(G33))),"Lỗi nhập",IF(OR(G33&lt;=0,F33&lt;0,F33&gt;G33),"Lỗi nhập",F33/G33)))</x:f>
      </x:c>
      <x:c r="J33" s="21"/>
      <x:c r="K33" s="39"/>
      <x:c r="L33" s="40" t="str">
        <x:f>IF(NOT(OR(COUNT(F33:H33)&gt;0,LEN(F33&amp;G33&amp;H33)&gt;0)),"",IF(NOT(ISNUMBER(I33)),"Lỗi/thiếu số đúng-tổng",IF(OR(MOD(F33,1)&lt;&gt;0,MOD(G33,1)&lt;&gt;0),"Lỗi/thiếu số đúng-tổng",IF(OR(AND(B33&lt;&gt;"N4",B33&lt;&gt;"N3",B33&lt;&gt;"N2"),AND(C33&lt;&gt;"Từ và kanji",C33&lt;&gt;"Ngữ pháp",C33&lt;&gt;"Đọc",C33&lt;&gt;"Nghe")),"Sai cấp/kỹ năng",IF(OR(NOT(ISNUMBER(A33)),A33&lt;1),"Thiếu ngày đo",IF(D33="","Thiếu mã bài",IF(AND(E33&lt;&gt;"Mới",E33&lt;&gt;"Ôn lại"),"Thiếu loại câu",IF(OR(NOT(ISNUMBER(H33)),H33&lt;=0),"Thiếu phút",IF(AND(E33="Mới",COUNTIFS($B$8:$B$79,B33,$C$8:$C$79,C33,$D$8:$D$79,D33,$E$8:$E$79,"Mới",$G$8:$G$79,"&gt;0")&gt;1),"Trùng câu mới","Hợp lệ")))))))))</x:f>
      </x:c>
    </x:row>
    <x:row r="34" ht="25" customHeight="1">
      <x:c r="A34" s="28" t="n">
        <x:v>46331</x:v>
      </x:c>
      <x:c r="B34" s="20" t="str">
        <x:v>N4</x:v>
      </x:c>
      <x:c r="C34" s="20" t="str">
        <x:v>Đọc</x:v>
      </x:c>
      <x:c r="D34" s="21"/>
      <x:c r="E34" s="20"/>
      <x:c r="F34" s="24"/>
      <x:c r="G34" s="24"/>
      <x:c r="H34" s="24"/>
      <x:c r="I34" s="30" t="str">
        <x:f>IF(OR(ISBLANK(F34),ISBLANK(G34)),"",IF(OR(NOT(ISNUMBER(F34)),NOT(ISNUMBER(G34))),"Lỗi nhập",IF(OR(G34&lt;=0,F34&lt;0,F34&gt;G34),"Lỗi nhập",F34/G34)))</x:f>
      </x:c>
      <x:c r="J34" s="21"/>
      <x:c r="K34" s="39"/>
      <x:c r="L34" s="40" t="str">
        <x:f>IF(NOT(OR(COUNT(F34:H34)&gt;0,LEN(F34&amp;G34&amp;H34)&gt;0)),"",IF(NOT(ISNUMBER(I34)),"Lỗi/thiếu số đúng-tổng",IF(OR(MOD(F34,1)&lt;&gt;0,MOD(G34,1)&lt;&gt;0),"Lỗi/thiếu số đúng-tổng",IF(OR(AND(B34&lt;&gt;"N4",B34&lt;&gt;"N3",B34&lt;&gt;"N2"),AND(C34&lt;&gt;"Từ và kanji",C34&lt;&gt;"Ngữ pháp",C34&lt;&gt;"Đọc",C34&lt;&gt;"Nghe")),"Sai cấp/kỹ năng",IF(OR(NOT(ISNUMBER(A34)),A34&lt;1),"Thiếu ngày đo",IF(D34="","Thiếu mã bài",IF(AND(E34&lt;&gt;"Mới",E34&lt;&gt;"Ôn lại"),"Thiếu loại câu",IF(OR(NOT(ISNUMBER(H34)),H34&lt;=0),"Thiếu phút",IF(AND(E34="Mới",COUNTIFS($B$8:$B$79,B34,$C$8:$C$79,C34,$D$8:$D$79,D34,$E$8:$E$79,"Mới",$G$8:$G$79,"&gt;0")&gt;1),"Trùng câu mới","Hợp lệ")))))))))</x:f>
      </x:c>
    </x:row>
    <x:row r="35" ht="25" customHeight="1">
      <x:c r="A35" s="28" t="n">
        <x:v>46331</x:v>
      </x:c>
      <x:c r="B35" s="20" t="str">
        <x:v>N4</x:v>
      </x:c>
      <x:c r="C35" s="20" t="str">
        <x:v>Nghe</x:v>
      </x:c>
      <x:c r="D35" s="21"/>
      <x:c r="E35" s="20"/>
      <x:c r="F35" s="24"/>
      <x:c r="G35" s="24"/>
      <x:c r="H35" s="24"/>
      <x:c r="I35" s="30" t="str">
        <x:f>IF(OR(ISBLANK(F35),ISBLANK(G35)),"",IF(OR(NOT(ISNUMBER(F35)),NOT(ISNUMBER(G35))),"Lỗi nhập",IF(OR(G35&lt;=0,F35&lt;0,F35&gt;G35),"Lỗi nhập",F35/G35)))</x:f>
      </x:c>
      <x:c r="J35" s="21"/>
      <x:c r="K35" s="39"/>
      <x:c r="L35" s="40" t="str">
        <x:f>IF(NOT(OR(COUNT(F35:H35)&gt;0,LEN(F35&amp;G35&amp;H35)&gt;0)),"",IF(NOT(ISNUMBER(I35)),"Lỗi/thiếu số đúng-tổng",IF(OR(MOD(F35,1)&lt;&gt;0,MOD(G35,1)&lt;&gt;0),"Lỗi/thiếu số đúng-tổng",IF(OR(AND(B35&lt;&gt;"N4",B35&lt;&gt;"N3",B35&lt;&gt;"N2"),AND(C35&lt;&gt;"Từ và kanji",C35&lt;&gt;"Ngữ pháp",C35&lt;&gt;"Đọc",C35&lt;&gt;"Nghe")),"Sai cấp/kỹ năng",IF(OR(NOT(ISNUMBER(A35)),A35&lt;1),"Thiếu ngày đo",IF(D35="","Thiếu mã bài",IF(AND(E35&lt;&gt;"Mới",E35&lt;&gt;"Ôn lại"),"Thiếu loại câu",IF(OR(NOT(ISNUMBER(H35)),H35&lt;=0),"Thiếu phút",IF(AND(E35="Mới",COUNTIFS($B$8:$B$79,B35,$C$8:$C$79,C35,$D$8:$D$79,D35,$E$8:$E$79,"Mới",$G$8:$G$79,"&gt;0")&gt;1),"Trùng câu mới","Hợp lệ")))))))))</x:f>
      </x:c>
    </x:row>
    <x:row r="36" ht="25" customHeight="1">
      <x:c r="A36" s="28" t="n">
        <x:v>46331</x:v>
      </x:c>
      <x:c r="B36" s="20" t="str">
        <x:v>N3</x:v>
      </x:c>
      <x:c r="C36" s="20" t="str">
        <x:v>Từ và kanji</x:v>
      </x:c>
      <x:c r="D36" s="21"/>
      <x:c r="E36" s="20"/>
      <x:c r="F36" s="24"/>
      <x:c r="G36" s="24"/>
      <x:c r="H36" s="24"/>
      <x:c r="I36" s="30" t="str">
        <x:f>IF(OR(ISBLANK(F36),ISBLANK(G36)),"",IF(OR(NOT(ISNUMBER(F36)),NOT(ISNUMBER(G36))),"Lỗi nhập",IF(OR(G36&lt;=0,F36&lt;0,F36&gt;G36),"Lỗi nhập",F36/G36)))</x:f>
      </x:c>
      <x:c r="J36" s="21"/>
      <x:c r="K36" s="39"/>
      <x:c r="L36" s="40" t="str">
        <x:f>IF(NOT(OR(COUNT(F36:H36)&gt;0,LEN(F36&amp;G36&amp;H36)&gt;0)),"",IF(NOT(ISNUMBER(I36)),"Lỗi/thiếu số đúng-tổng",IF(OR(MOD(F36,1)&lt;&gt;0,MOD(G36,1)&lt;&gt;0),"Lỗi/thiếu số đúng-tổng",IF(OR(AND(B36&lt;&gt;"N4",B36&lt;&gt;"N3",B36&lt;&gt;"N2"),AND(C36&lt;&gt;"Từ và kanji",C36&lt;&gt;"Ngữ pháp",C36&lt;&gt;"Đọc",C36&lt;&gt;"Nghe")),"Sai cấp/kỹ năng",IF(OR(NOT(ISNUMBER(A36)),A36&lt;1),"Thiếu ngày đo",IF(D36="","Thiếu mã bài",IF(AND(E36&lt;&gt;"Mới",E36&lt;&gt;"Ôn lại"),"Thiếu loại câu",IF(OR(NOT(ISNUMBER(H36)),H36&lt;=0),"Thiếu phút",IF(AND(E36="Mới",COUNTIFS($B$8:$B$79,B36,$C$8:$C$79,C36,$D$8:$D$79,D36,$E$8:$E$79,"Mới",$G$8:$G$79,"&gt;0")&gt;1),"Trùng câu mới","Hợp lệ")))))))))</x:f>
      </x:c>
    </x:row>
    <x:row r="37" ht="25" customHeight="1">
      <x:c r="A37" s="28" t="n">
        <x:v>46331</x:v>
      </x:c>
      <x:c r="B37" s="20" t="str">
        <x:v>N3</x:v>
      </x:c>
      <x:c r="C37" s="20" t="str">
        <x:v>Ngữ pháp</x:v>
      </x:c>
      <x:c r="D37" s="21"/>
      <x:c r="E37" s="20"/>
      <x:c r="F37" s="24"/>
      <x:c r="G37" s="24"/>
      <x:c r="H37" s="24"/>
      <x:c r="I37" s="30" t="str">
        <x:f>IF(OR(ISBLANK(F37),ISBLANK(G37)),"",IF(OR(NOT(ISNUMBER(F37)),NOT(ISNUMBER(G37))),"Lỗi nhập",IF(OR(G37&lt;=0,F37&lt;0,F37&gt;G37),"Lỗi nhập",F37/G37)))</x:f>
      </x:c>
      <x:c r="J37" s="21"/>
      <x:c r="K37" s="39"/>
      <x:c r="L37" s="40" t="str">
        <x:f>IF(NOT(OR(COUNT(F37:H37)&gt;0,LEN(F37&amp;G37&amp;H37)&gt;0)),"",IF(NOT(ISNUMBER(I37)),"Lỗi/thiếu số đúng-tổng",IF(OR(MOD(F37,1)&lt;&gt;0,MOD(G37,1)&lt;&gt;0),"Lỗi/thiếu số đúng-tổng",IF(OR(AND(B37&lt;&gt;"N4",B37&lt;&gt;"N3",B37&lt;&gt;"N2"),AND(C37&lt;&gt;"Từ và kanji",C37&lt;&gt;"Ngữ pháp",C37&lt;&gt;"Đọc",C37&lt;&gt;"Nghe")),"Sai cấp/kỹ năng",IF(OR(NOT(ISNUMBER(A37)),A37&lt;1),"Thiếu ngày đo",IF(D37="","Thiếu mã bài",IF(AND(E37&lt;&gt;"Mới",E37&lt;&gt;"Ôn lại"),"Thiếu loại câu",IF(OR(NOT(ISNUMBER(H37)),H37&lt;=0),"Thiếu phút",IF(AND(E37="Mới",COUNTIFS($B$8:$B$79,B37,$C$8:$C$79,C37,$D$8:$D$79,D37,$E$8:$E$79,"Mới",$G$8:$G$79,"&gt;0")&gt;1),"Trùng câu mới","Hợp lệ")))))))))</x:f>
      </x:c>
    </x:row>
    <x:row r="38" ht="25" customHeight="1">
      <x:c r="A38" s="28" t="n">
        <x:v>46331</x:v>
      </x:c>
      <x:c r="B38" s="20" t="str">
        <x:v>N3</x:v>
      </x:c>
      <x:c r="C38" s="20" t="str">
        <x:v>Đọc</x:v>
      </x:c>
      <x:c r="D38" s="21"/>
      <x:c r="E38" s="20"/>
      <x:c r="F38" s="24"/>
      <x:c r="G38" s="24"/>
      <x:c r="H38" s="24"/>
      <x:c r="I38" s="30" t="str">
        <x:f>IF(OR(ISBLANK(F38),ISBLANK(G38)),"",IF(OR(NOT(ISNUMBER(F38)),NOT(ISNUMBER(G38))),"Lỗi nhập",IF(OR(G38&lt;=0,F38&lt;0,F38&gt;G38),"Lỗi nhập",F38/G38)))</x:f>
      </x:c>
      <x:c r="J38" s="21"/>
      <x:c r="K38" s="39"/>
      <x:c r="L38" s="40" t="str">
        <x:f>IF(NOT(OR(COUNT(F38:H38)&gt;0,LEN(F38&amp;G38&amp;H38)&gt;0)),"",IF(NOT(ISNUMBER(I38)),"Lỗi/thiếu số đúng-tổng",IF(OR(MOD(F38,1)&lt;&gt;0,MOD(G38,1)&lt;&gt;0),"Lỗi/thiếu số đúng-tổng",IF(OR(AND(B38&lt;&gt;"N4",B38&lt;&gt;"N3",B38&lt;&gt;"N2"),AND(C38&lt;&gt;"Từ và kanji",C38&lt;&gt;"Ngữ pháp",C38&lt;&gt;"Đọc",C38&lt;&gt;"Nghe")),"Sai cấp/kỹ năng",IF(OR(NOT(ISNUMBER(A38)),A38&lt;1),"Thiếu ngày đo",IF(D38="","Thiếu mã bài",IF(AND(E38&lt;&gt;"Mới",E38&lt;&gt;"Ôn lại"),"Thiếu loại câu",IF(OR(NOT(ISNUMBER(H38)),H38&lt;=0),"Thiếu phút",IF(AND(E38="Mới",COUNTIFS($B$8:$B$79,B38,$C$8:$C$79,C38,$D$8:$D$79,D38,$E$8:$E$79,"Mới",$G$8:$G$79,"&gt;0")&gt;1),"Trùng câu mới","Hợp lệ")))))))))</x:f>
      </x:c>
    </x:row>
    <x:row r="39" ht="25" customHeight="1">
      <x:c r="A39" s="28" t="n">
        <x:v>46331</x:v>
      </x:c>
      <x:c r="B39" s="20" t="str">
        <x:v>N3</x:v>
      </x:c>
      <x:c r="C39" s="20" t="str">
        <x:v>Nghe</x:v>
      </x:c>
      <x:c r="D39" s="21"/>
      <x:c r="E39" s="20"/>
      <x:c r="F39" s="24"/>
      <x:c r="G39" s="24"/>
      <x:c r="H39" s="24"/>
      <x:c r="I39" s="30" t="str">
        <x:f>IF(OR(ISBLANK(F39),ISBLANK(G39)),"",IF(OR(NOT(ISNUMBER(F39)),NOT(ISNUMBER(G39))),"Lỗi nhập",IF(OR(G39&lt;=0,F39&lt;0,F39&gt;G39),"Lỗi nhập",F39/G39)))</x:f>
      </x:c>
      <x:c r="J39" s="21"/>
      <x:c r="K39" s="39"/>
      <x:c r="L39" s="40" t="str">
        <x:f>IF(NOT(OR(COUNT(F39:H39)&gt;0,LEN(F39&amp;G39&amp;H39)&gt;0)),"",IF(NOT(ISNUMBER(I39)),"Lỗi/thiếu số đúng-tổng",IF(OR(MOD(F39,1)&lt;&gt;0,MOD(G39,1)&lt;&gt;0),"Lỗi/thiếu số đúng-tổng",IF(OR(AND(B39&lt;&gt;"N4",B39&lt;&gt;"N3",B39&lt;&gt;"N2"),AND(C39&lt;&gt;"Từ và kanji",C39&lt;&gt;"Ngữ pháp",C39&lt;&gt;"Đọc",C39&lt;&gt;"Nghe")),"Sai cấp/kỹ năng",IF(OR(NOT(ISNUMBER(A39)),A39&lt;1),"Thiếu ngày đo",IF(D39="","Thiếu mã bài",IF(AND(E39&lt;&gt;"Mới",E39&lt;&gt;"Ôn lại"),"Thiếu loại câu",IF(OR(NOT(ISNUMBER(H39)),H39&lt;=0),"Thiếu phút",IF(AND(E39="Mới",COUNTIFS($B$8:$B$79,B39,$C$8:$C$79,C39,$D$8:$D$79,D39,$E$8:$E$79,"Mới",$G$8:$G$79,"&gt;0")&gt;1),"Trùng câu mới","Hợp lệ")))))))))</x:f>
      </x:c>
    </x:row>
    <x:row r="40" ht="25" customHeight="1">
      <x:c r="A40" s="28" t="n">
        <x:v>46338</x:v>
      </x:c>
      <x:c r="B40" s="20" t="str">
        <x:v>N4</x:v>
      </x:c>
      <x:c r="C40" s="20" t="str">
        <x:v>Từ và kanji</x:v>
      </x:c>
      <x:c r="D40" s="21"/>
      <x:c r="E40" s="20"/>
      <x:c r="F40" s="24"/>
      <x:c r="G40" s="24"/>
      <x:c r="H40" s="24"/>
      <x:c r="I40" s="30" t="str">
        <x:f>IF(OR(ISBLANK(F40),ISBLANK(G40)),"",IF(OR(NOT(ISNUMBER(F40)),NOT(ISNUMBER(G40))),"Lỗi nhập",IF(OR(G40&lt;=0,F40&lt;0,F40&gt;G40),"Lỗi nhập",F40/G40)))</x:f>
      </x:c>
      <x:c r="J40" s="21"/>
      <x:c r="K40" s="39"/>
      <x:c r="L40" s="40" t="str">
        <x:f>IF(NOT(OR(COUNT(F40:H40)&gt;0,LEN(F40&amp;G40&amp;H40)&gt;0)),"",IF(NOT(ISNUMBER(I40)),"Lỗi/thiếu số đúng-tổng",IF(OR(MOD(F40,1)&lt;&gt;0,MOD(G40,1)&lt;&gt;0),"Lỗi/thiếu số đúng-tổng",IF(OR(AND(B40&lt;&gt;"N4",B40&lt;&gt;"N3",B40&lt;&gt;"N2"),AND(C40&lt;&gt;"Từ và kanji",C40&lt;&gt;"Ngữ pháp",C40&lt;&gt;"Đọc",C40&lt;&gt;"Nghe")),"Sai cấp/kỹ năng",IF(OR(NOT(ISNUMBER(A40)),A40&lt;1),"Thiếu ngày đo",IF(D40="","Thiếu mã bài",IF(AND(E40&lt;&gt;"Mới",E40&lt;&gt;"Ôn lại"),"Thiếu loại câu",IF(OR(NOT(ISNUMBER(H40)),H40&lt;=0),"Thiếu phút",IF(AND(E40="Mới",COUNTIFS($B$8:$B$79,B40,$C$8:$C$79,C40,$D$8:$D$79,D40,$E$8:$E$79,"Mới",$G$8:$G$79,"&gt;0")&gt;1),"Trùng câu mới","Hợp lệ")))))))))</x:f>
      </x:c>
    </x:row>
    <x:row r="41" ht="25" customHeight="1">
      <x:c r="A41" s="28" t="n">
        <x:v>46338</x:v>
      </x:c>
      <x:c r="B41" s="20" t="str">
        <x:v>N4</x:v>
      </x:c>
      <x:c r="C41" s="20" t="str">
        <x:v>Ngữ pháp</x:v>
      </x:c>
      <x:c r="D41" s="21"/>
      <x:c r="E41" s="20"/>
      <x:c r="F41" s="24"/>
      <x:c r="G41" s="24"/>
      <x:c r="H41" s="24"/>
      <x:c r="I41" s="30" t="str">
        <x:f>IF(OR(ISBLANK(F41),ISBLANK(G41)),"",IF(OR(NOT(ISNUMBER(F41)),NOT(ISNUMBER(G41))),"Lỗi nhập",IF(OR(G41&lt;=0,F41&lt;0,F41&gt;G41),"Lỗi nhập",F41/G41)))</x:f>
      </x:c>
      <x:c r="J41" s="21"/>
      <x:c r="K41" s="39"/>
      <x:c r="L41" s="40" t="str">
        <x:f>IF(NOT(OR(COUNT(F41:H41)&gt;0,LEN(F41&amp;G41&amp;H41)&gt;0)),"",IF(NOT(ISNUMBER(I41)),"Lỗi/thiếu số đúng-tổng",IF(OR(MOD(F41,1)&lt;&gt;0,MOD(G41,1)&lt;&gt;0),"Lỗi/thiếu số đúng-tổng",IF(OR(AND(B41&lt;&gt;"N4",B41&lt;&gt;"N3",B41&lt;&gt;"N2"),AND(C41&lt;&gt;"Từ và kanji",C41&lt;&gt;"Ngữ pháp",C41&lt;&gt;"Đọc",C41&lt;&gt;"Nghe")),"Sai cấp/kỹ năng",IF(OR(NOT(ISNUMBER(A41)),A41&lt;1),"Thiếu ngày đo",IF(D41="","Thiếu mã bài",IF(AND(E41&lt;&gt;"Mới",E41&lt;&gt;"Ôn lại"),"Thiếu loại câu",IF(OR(NOT(ISNUMBER(H41)),H41&lt;=0),"Thiếu phút",IF(AND(E41="Mới",COUNTIFS($B$8:$B$79,B41,$C$8:$C$79,C41,$D$8:$D$79,D41,$E$8:$E$79,"Mới",$G$8:$G$79,"&gt;0")&gt;1),"Trùng câu mới","Hợp lệ")))))))))</x:f>
      </x:c>
    </x:row>
    <x:row r="42" ht="25" customHeight="1">
      <x:c r="A42" s="28" t="n">
        <x:v>46338</x:v>
      </x:c>
      <x:c r="B42" s="20" t="str">
        <x:v>N4</x:v>
      </x:c>
      <x:c r="C42" s="20" t="str">
        <x:v>Đọc</x:v>
      </x:c>
      <x:c r="D42" s="21"/>
      <x:c r="E42" s="20"/>
      <x:c r="F42" s="24"/>
      <x:c r="G42" s="24"/>
      <x:c r="H42" s="24"/>
      <x:c r="I42" s="30" t="str">
        <x:f>IF(OR(ISBLANK(F42),ISBLANK(G42)),"",IF(OR(NOT(ISNUMBER(F42)),NOT(ISNUMBER(G42))),"Lỗi nhập",IF(OR(G42&lt;=0,F42&lt;0,F42&gt;G42),"Lỗi nhập",F42/G42)))</x:f>
      </x:c>
      <x:c r="J42" s="21"/>
      <x:c r="K42" s="39"/>
      <x:c r="L42" s="40" t="str">
        <x:f>IF(NOT(OR(COUNT(F42:H42)&gt;0,LEN(F42&amp;G42&amp;H42)&gt;0)),"",IF(NOT(ISNUMBER(I42)),"Lỗi/thiếu số đúng-tổng",IF(OR(MOD(F42,1)&lt;&gt;0,MOD(G42,1)&lt;&gt;0),"Lỗi/thiếu số đúng-tổng",IF(OR(AND(B42&lt;&gt;"N4",B42&lt;&gt;"N3",B42&lt;&gt;"N2"),AND(C42&lt;&gt;"Từ và kanji",C42&lt;&gt;"Ngữ pháp",C42&lt;&gt;"Đọc",C42&lt;&gt;"Nghe")),"Sai cấp/kỹ năng",IF(OR(NOT(ISNUMBER(A42)),A42&lt;1),"Thiếu ngày đo",IF(D42="","Thiếu mã bài",IF(AND(E42&lt;&gt;"Mới",E42&lt;&gt;"Ôn lại"),"Thiếu loại câu",IF(OR(NOT(ISNUMBER(H42)),H42&lt;=0),"Thiếu phút",IF(AND(E42="Mới",COUNTIFS($B$8:$B$79,B42,$C$8:$C$79,C42,$D$8:$D$79,D42,$E$8:$E$79,"Mới",$G$8:$G$79,"&gt;0")&gt;1),"Trùng câu mới","Hợp lệ")))))))))</x:f>
      </x:c>
    </x:row>
    <x:row r="43" ht="25" customHeight="1">
      <x:c r="A43" s="28" t="n">
        <x:v>46338</x:v>
      </x:c>
      <x:c r="B43" s="20" t="str">
        <x:v>N4</x:v>
      </x:c>
      <x:c r="C43" s="20" t="str">
        <x:v>Nghe</x:v>
      </x:c>
      <x:c r="D43" s="21"/>
      <x:c r="E43" s="20"/>
      <x:c r="F43" s="24"/>
      <x:c r="G43" s="24"/>
      <x:c r="H43" s="24"/>
      <x:c r="I43" s="30" t="str">
        <x:f>IF(OR(ISBLANK(F43),ISBLANK(G43)),"",IF(OR(NOT(ISNUMBER(F43)),NOT(ISNUMBER(G43))),"Lỗi nhập",IF(OR(G43&lt;=0,F43&lt;0,F43&gt;G43),"Lỗi nhập",F43/G43)))</x:f>
      </x:c>
      <x:c r="J43" s="21"/>
      <x:c r="K43" s="39"/>
      <x:c r="L43" s="40" t="str">
        <x:f>IF(NOT(OR(COUNT(F43:H43)&gt;0,LEN(F43&amp;G43&amp;H43)&gt;0)),"",IF(NOT(ISNUMBER(I43)),"Lỗi/thiếu số đúng-tổng",IF(OR(MOD(F43,1)&lt;&gt;0,MOD(G43,1)&lt;&gt;0),"Lỗi/thiếu số đúng-tổng",IF(OR(AND(B43&lt;&gt;"N4",B43&lt;&gt;"N3",B43&lt;&gt;"N2"),AND(C43&lt;&gt;"Từ và kanji",C43&lt;&gt;"Ngữ pháp",C43&lt;&gt;"Đọc",C43&lt;&gt;"Nghe")),"Sai cấp/kỹ năng",IF(OR(NOT(ISNUMBER(A43)),A43&lt;1),"Thiếu ngày đo",IF(D43="","Thiếu mã bài",IF(AND(E43&lt;&gt;"Mới",E43&lt;&gt;"Ôn lại"),"Thiếu loại câu",IF(OR(NOT(ISNUMBER(H43)),H43&lt;=0),"Thiếu phút",IF(AND(E43="Mới",COUNTIFS($B$8:$B$79,B43,$C$8:$C$79,C43,$D$8:$D$79,D43,$E$8:$E$79,"Mới",$G$8:$G$79,"&gt;0")&gt;1),"Trùng câu mới","Hợp lệ")))))))))</x:f>
      </x:c>
    </x:row>
    <x:row r="44" ht="25" customHeight="1">
      <x:c r="A44" s="28" t="n">
        <x:v>46338</x:v>
      </x:c>
      <x:c r="B44" s="20" t="str">
        <x:v>N3</x:v>
      </x:c>
      <x:c r="C44" s="20" t="str">
        <x:v>Từ và kanji</x:v>
      </x:c>
      <x:c r="D44" s="21"/>
      <x:c r="E44" s="20"/>
      <x:c r="F44" s="24"/>
      <x:c r="G44" s="24"/>
      <x:c r="H44" s="24"/>
      <x:c r="I44" s="30" t="str">
        <x:f>IF(OR(ISBLANK(F44),ISBLANK(G44)),"",IF(OR(NOT(ISNUMBER(F44)),NOT(ISNUMBER(G44))),"Lỗi nhập",IF(OR(G44&lt;=0,F44&lt;0,F44&gt;G44),"Lỗi nhập",F44/G44)))</x:f>
      </x:c>
      <x:c r="J44" s="21"/>
      <x:c r="K44" s="39"/>
      <x:c r="L44" s="40" t="str">
        <x:f>IF(NOT(OR(COUNT(F44:H44)&gt;0,LEN(F44&amp;G44&amp;H44)&gt;0)),"",IF(NOT(ISNUMBER(I44)),"Lỗi/thiếu số đúng-tổng",IF(OR(MOD(F44,1)&lt;&gt;0,MOD(G44,1)&lt;&gt;0),"Lỗi/thiếu số đúng-tổng",IF(OR(AND(B44&lt;&gt;"N4",B44&lt;&gt;"N3",B44&lt;&gt;"N2"),AND(C44&lt;&gt;"Từ và kanji",C44&lt;&gt;"Ngữ pháp",C44&lt;&gt;"Đọc",C44&lt;&gt;"Nghe")),"Sai cấp/kỹ năng",IF(OR(NOT(ISNUMBER(A44)),A44&lt;1),"Thiếu ngày đo",IF(D44="","Thiếu mã bài",IF(AND(E44&lt;&gt;"Mới",E44&lt;&gt;"Ôn lại"),"Thiếu loại câu",IF(OR(NOT(ISNUMBER(H44)),H44&lt;=0),"Thiếu phút",IF(AND(E44="Mới",COUNTIFS($B$8:$B$79,B44,$C$8:$C$79,C44,$D$8:$D$79,D44,$E$8:$E$79,"Mới",$G$8:$G$79,"&gt;0")&gt;1),"Trùng câu mới","Hợp lệ")))))))))</x:f>
      </x:c>
    </x:row>
    <x:row r="45" ht="25" customHeight="1">
      <x:c r="A45" s="28" t="n">
        <x:v>46338</x:v>
      </x:c>
      <x:c r="B45" s="20" t="str">
        <x:v>N3</x:v>
      </x:c>
      <x:c r="C45" s="20" t="str">
        <x:v>Ngữ pháp</x:v>
      </x:c>
      <x:c r="D45" s="21"/>
      <x:c r="E45" s="20"/>
      <x:c r="F45" s="24"/>
      <x:c r="G45" s="24"/>
      <x:c r="H45" s="24"/>
      <x:c r="I45" s="30" t="str">
        <x:f>IF(OR(ISBLANK(F45),ISBLANK(G45)),"",IF(OR(NOT(ISNUMBER(F45)),NOT(ISNUMBER(G45))),"Lỗi nhập",IF(OR(G45&lt;=0,F45&lt;0,F45&gt;G45),"Lỗi nhập",F45/G45)))</x:f>
      </x:c>
      <x:c r="J45" s="21"/>
      <x:c r="K45" s="39"/>
      <x:c r="L45" s="40" t="str">
        <x:f>IF(NOT(OR(COUNT(F45:H45)&gt;0,LEN(F45&amp;G45&amp;H45)&gt;0)),"",IF(NOT(ISNUMBER(I45)),"Lỗi/thiếu số đúng-tổng",IF(OR(MOD(F45,1)&lt;&gt;0,MOD(G45,1)&lt;&gt;0),"Lỗi/thiếu số đúng-tổng",IF(OR(AND(B45&lt;&gt;"N4",B45&lt;&gt;"N3",B45&lt;&gt;"N2"),AND(C45&lt;&gt;"Từ và kanji",C45&lt;&gt;"Ngữ pháp",C45&lt;&gt;"Đọc",C45&lt;&gt;"Nghe")),"Sai cấp/kỹ năng",IF(OR(NOT(ISNUMBER(A45)),A45&lt;1),"Thiếu ngày đo",IF(D45="","Thiếu mã bài",IF(AND(E45&lt;&gt;"Mới",E45&lt;&gt;"Ôn lại"),"Thiếu loại câu",IF(OR(NOT(ISNUMBER(H45)),H45&lt;=0),"Thiếu phút",IF(AND(E45="Mới",COUNTIFS($B$8:$B$79,B45,$C$8:$C$79,C45,$D$8:$D$79,D45,$E$8:$E$79,"Mới",$G$8:$G$79,"&gt;0")&gt;1),"Trùng câu mới","Hợp lệ")))))))))</x:f>
      </x:c>
    </x:row>
    <x:row r="46" ht="25" customHeight="1">
      <x:c r="A46" s="28" t="n">
        <x:v>46338</x:v>
      </x:c>
      <x:c r="B46" s="20" t="str">
        <x:v>N3</x:v>
      </x:c>
      <x:c r="C46" s="20" t="str">
        <x:v>Đọc</x:v>
      </x:c>
      <x:c r="D46" s="21"/>
      <x:c r="E46" s="20"/>
      <x:c r="F46" s="24"/>
      <x:c r="G46" s="24"/>
      <x:c r="H46" s="24"/>
      <x:c r="I46" s="30" t="str">
        <x:f>IF(OR(ISBLANK(F46),ISBLANK(G46)),"",IF(OR(NOT(ISNUMBER(F46)),NOT(ISNUMBER(G46))),"Lỗi nhập",IF(OR(G46&lt;=0,F46&lt;0,F46&gt;G46),"Lỗi nhập",F46/G46)))</x:f>
      </x:c>
      <x:c r="J46" s="21"/>
      <x:c r="K46" s="39"/>
      <x:c r="L46" s="40" t="str">
        <x:f>IF(NOT(OR(COUNT(F46:H46)&gt;0,LEN(F46&amp;G46&amp;H46)&gt;0)),"",IF(NOT(ISNUMBER(I46)),"Lỗi/thiếu số đúng-tổng",IF(OR(MOD(F46,1)&lt;&gt;0,MOD(G46,1)&lt;&gt;0),"Lỗi/thiếu số đúng-tổng",IF(OR(AND(B46&lt;&gt;"N4",B46&lt;&gt;"N3",B46&lt;&gt;"N2"),AND(C46&lt;&gt;"Từ và kanji",C46&lt;&gt;"Ngữ pháp",C46&lt;&gt;"Đọc",C46&lt;&gt;"Nghe")),"Sai cấp/kỹ năng",IF(OR(NOT(ISNUMBER(A46)),A46&lt;1),"Thiếu ngày đo",IF(D46="","Thiếu mã bài",IF(AND(E46&lt;&gt;"Mới",E46&lt;&gt;"Ôn lại"),"Thiếu loại câu",IF(OR(NOT(ISNUMBER(H46)),H46&lt;=0),"Thiếu phút",IF(AND(E46="Mới",COUNTIFS($B$8:$B$79,B46,$C$8:$C$79,C46,$D$8:$D$79,D46,$E$8:$E$79,"Mới",$G$8:$G$79,"&gt;0")&gt;1),"Trùng câu mới","Hợp lệ")))))))))</x:f>
      </x:c>
    </x:row>
    <x:row r="47" ht="25" customHeight="1">
      <x:c r="A47" s="28" t="n">
        <x:v>46338</x:v>
      </x:c>
      <x:c r="B47" s="20" t="str">
        <x:v>N3</x:v>
      </x:c>
      <x:c r="C47" s="20" t="str">
        <x:v>Nghe</x:v>
      </x:c>
      <x:c r="D47" s="21"/>
      <x:c r="E47" s="20"/>
      <x:c r="F47" s="24"/>
      <x:c r="G47" s="24"/>
      <x:c r="H47" s="24"/>
      <x:c r="I47" s="30" t="str">
        <x:f>IF(OR(ISBLANK(F47),ISBLANK(G47)),"",IF(OR(NOT(ISNUMBER(F47)),NOT(ISNUMBER(G47))),"Lỗi nhập",IF(OR(G47&lt;=0,F47&lt;0,F47&gt;G47),"Lỗi nhập",F47/G47)))</x:f>
      </x:c>
      <x:c r="J47" s="21"/>
      <x:c r="K47" s="39"/>
      <x:c r="L47" s="40" t="str">
        <x:f>IF(NOT(OR(COUNT(F47:H47)&gt;0,LEN(F47&amp;G47&amp;H47)&gt;0)),"",IF(NOT(ISNUMBER(I47)),"Lỗi/thiếu số đúng-tổng",IF(OR(MOD(F47,1)&lt;&gt;0,MOD(G47,1)&lt;&gt;0),"Lỗi/thiếu số đúng-tổng",IF(OR(AND(B47&lt;&gt;"N4",B47&lt;&gt;"N3",B47&lt;&gt;"N2"),AND(C47&lt;&gt;"Từ và kanji",C47&lt;&gt;"Ngữ pháp",C47&lt;&gt;"Đọc",C47&lt;&gt;"Nghe")),"Sai cấp/kỹ năng",IF(OR(NOT(ISNUMBER(A47)),A47&lt;1),"Thiếu ngày đo",IF(D47="","Thiếu mã bài",IF(AND(E47&lt;&gt;"Mới",E47&lt;&gt;"Ôn lại"),"Thiếu loại câu",IF(OR(NOT(ISNUMBER(H47)),H47&lt;=0),"Thiếu phút",IF(AND(E47="Mới",COUNTIFS($B$8:$B$79,B47,$C$8:$C$79,C47,$D$8:$D$79,D47,$E$8:$E$79,"Mới",$G$8:$G$79,"&gt;0")&gt;1),"Trùng câu mới","Hợp lệ")))))))))</x:f>
      </x:c>
    </x:row>
    <x:row r="48" ht="25" customHeight="1">
      <x:c r="A48" s="28" t="n">
        <x:v>46345</x:v>
      </x:c>
      <x:c r="B48" s="20" t="str">
        <x:v>N4</x:v>
      </x:c>
      <x:c r="C48" s="20" t="str">
        <x:v>Từ và kanji</x:v>
      </x:c>
      <x:c r="D48" s="21"/>
      <x:c r="E48" s="20"/>
      <x:c r="F48" s="24"/>
      <x:c r="G48" s="24"/>
      <x:c r="H48" s="24"/>
      <x:c r="I48" s="30" t="str">
        <x:f>IF(OR(ISBLANK(F48),ISBLANK(G48)),"",IF(OR(NOT(ISNUMBER(F48)),NOT(ISNUMBER(G48))),"Lỗi nhập",IF(OR(G48&lt;=0,F48&lt;0,F48&gt;G48),"Lỗi nhập",F48/G48)))</x:f>
      </x:c>
      <x:c r="J48" s="21"/>
      <x:c r="K48" s="39"/>
      <x:c r="L48" s="40" t="str">
        <x:f>IF(NOT(OR(COUNT(F48:H48)&gt;0,LEN(F48&amp;G48&amp;H48)&gt;0)),"",IF(NOT(ISNUMBER(I48)),"Lỗi/thiếu số đúng-tổng",IF(OR(MOD(F48,1)&lt;&gt;0,MOD(G48,1)&lt;&gt;0),"Lỗi/thiếu số đúng-tổng",IF(OR(AND(B48&lt;&gt;"N4",B48&lt;&gt;"N3",B48&lt;&gt;"N2"),AND(C48&lt;&gt;"Từ và kanji",C48&lt;&gt;"Ngữ pháp",C48&lt;&gt;"Đọc",C48&lt;&gt;"Nghe")),"Sai cấp/kỹ năng",IF(OR(NOT(ISNUMBER(A48)),A48&lt;1),"Thiếu ngày đo",IF(D48="","Thiếu mã bài",IF(AND(E48&lt;&gt;"Mới",E48&lt;&gt;"Ôn lại"),"Thiếu loại câu",IF(OR(NOT(ISNUMBER(H48)),H48&lt;=0),"Thiếu phút",IF(AND(E48="Mới",COUNTIFS($B$8:$B$79,B48,$C$8:$C$79,C48,$D$8:$D$79,D48,$E$8:$E$79,"Mới",$G$8:$G$79,"&gt;0")&gt;1),"Trùng câu mới","Hợp lệ")))))))))</x:f>
      </x:c>
    </x:row>
    <x:row r="49" ht="25" customHeight="1">
      <x:c r="A49" s="28" t="n">
        <x:v>46345</x:v>
      </x:c>
      <x:c r="B49" s="20" t="str">
        <x:v>N4</x:v>
      </x:c>
      <x:c r="C49" s="20" t="str">
        <x:v>Ngữ pháp</x:v>
      </x:c>
      <x:c r="D49" s="21"/>
      <x:c r="E49" s="20"/>
      <x:c r="F49" s="24"/>
      <x:c r="G49" s="24"/>
      <x:c r="H49" s="24"/>
      <x:c r="I49" s="30" t="str">
        <x:f>IF(OR(ISBLANK(F49),ISBLANK(G49)),"",IF(OR(NOT(ISNUMBER(F49)),NOT(ISNUMBER(G49))),"Lỗi nhập",IF(OR(G49&lt;=0,F49&lt;0,F49&gt;G49),"Lỗi nhập",F49/G49)))</x:f>
      </x:c>
      <x:c r="J49" s="21"/>
      <x:c r="K49" s="39"/>
      <x:c r="L49" s="40" t="str">
        <x:f>IF(NOT(OR(COUNT(F49:H49)&gt;0,LEN(F49&amp;G49&amp;H49)&gt;0)),"",IF(NOT(ISNUMBER(I49)),"Lỗi/thiếu số đúng-tổng",IF(OR(MOD(F49,1)&lt;&gt;0,MOD(G49,1)&lt;&gt;0),"Lỗi/thiếu số đúng-tổng",IF(OR(AND(B49&lt;&gt;"N4",B49&lt;&gt;"N3",B49&lt;&gt;"N2"),AND(C49&lt;&gt;"Từ và kanji",C49&lt;&gt;"Ngữ pháp",C49&lt;&gt;"Đọc",C49&lt;&gt;"Nghe")),"Sai cấp/kỹ năng",IF(OR(NOT(ISNUMBER(A49)),A49&lt;1),"Thiếu ngày đo",IF(D49="","Thiếu mã bài",IF(AND(E49&lt;&gt;"Mới",E49&lt;&gt;"Ôn lại"),"Thiếu loại câu",IF(OR(NOT(ISNUMBER(H49)),H49&lt;=0),"Thiếu phút",IF(AND(E49="Mới",COUNTIFS($B$8:$B$79,B49,$C$8:$C$79,C49,$D$8:$D$79,D49,$E$8:$E$79,"Mới",$G$8:$G$79,"&gt;0")&gt;1),"Trùng câu mới","Hợp lệ")))))))))</x:f>
      </x:c>
    </x:row>
    <x:row r="50" ht="25" customHeight="1">
      <x:c r="A50" s="28" t="n">
        <x:v>46345</x:v>
      </x:c>
      <x:c r="B50" s="20" t="str">
        <x:v>N4</x:v>
      </x:c>
      <x:c r="C50" s="20" t="str">
        <x:v>Đọc</x:v>
      </x:c>
      <x:c r="D50" s="21"/>
      <x:c r="E50" s="20"/>
      <x:c r="F50" s="24"/>
      <x:c r="G50" s="24"/>
      <x:c r="H50" s="24"/>
      <x:c r="I50" s="30" t="str">
        <x:f>IF(OR(ISBLANK(F50),ISBLANK(G50)),"",IF(OR(NOT(ISNUMBER(F50)),NOT(ISNUMBER(G50))),"Lỗi nhập",IF(OR(G50&lt;=0,F50&lt;0,F50&gt;G50),"Lỗi nhập",F50/G50)))</x:f>
      </x:c>
      <x:c r="J50" s="21"/>
      <x:c r="K50" s="39"/>
      <x:c r="L50" s="40" t="str">
        <x:f>IF(NOT(OR(COUNT(F50:H50)&gt;0,LEN(F50&amp;G50&amp;H50)&gt;0)),"",IF(NOT(ISNUMBER(I50)),"Lỗi/thiếu số đúng-tổng",IF(OR(MOD(F50,1)&lt;&gt;0,MOD(G50,1)&lt;&gt;0),"Lỗi/thiếu số đúng-tổng",IF(OR(AND(B50&lt;&gt;"N4",B50&lt;&gt;"N3",B50&lt;&gt;"N2"),AND(C50&lt;&gt;"Từ và kanji",C50&lt;&gt;"Ngữ pháp",C50&lt;&gt;"Đọc",C50&lt;&gt;"Nghe")),"Sai cấp/kỹ năng",IF(OR(NOT(ISNUMBER(A50)),A50&lt;1),"Thiếu ngày đo",IF(D50="","Thiếu mã bài",IF(AND(E50&lt;&gt;"Mới",E50&lt;&gt;"Ôn lại"),"Thiếu loại câu",IF(OR(NOT(ISNUMBER(H50)),H50&lt;=0),"Thiếu phút",IF(AND(E50="Mới",COUNTIFS($B$8:$B$79,B50,$C$8:$C$79,C50,$D$8:$D$79,D50,$E$8:$E$79,"Mới",$G$8:$G$79,"&gt;0")&gt;1),"Trùng câu mới","Hợp lệ")))))))))</x:f>
      </x:c>
    </x:row>
    <x:row r="51" ht="25" customHeight="1">
      <x:c r="A51" s="28" t="n">
        <x:v>46345</x:v>
      </x:c>
      <x:c r="B51" s="20" t="str">
        <x:v>N4</x:v>
      </x:c>
      <x:c r="C51" s="20" t="str">
        <x:v>Nghe</x:v>
      </x:c>
      <x:c r="D51" s="21"/>
      <x:c r="E51" s="20"/>
      <x:c r="F51" s="24"/>
      <x:c r="G51" s="24"/>
      <x:c r="H51" s="24"/>
      <x:c r="I51" s="30" t="str">
        <x:f>IF(OR(ISBLANK(F51),ISBLANK(G51)),"",IF(OR(NOT(ISNUMBER(F51)),NOT(ISNUMBER(G51))),"Lỗi nhập",IF(OR(G51&lt;=0,F51&lt;0,F51&gt;G51),"Lỗi nhập",F51/G51)))</x:f>
      </x:c>
      <x:c r="J51" s="21"/>
      <x:c r="K51" s="39"/>
      <x:c r="L51" s="40" t="str">
        <x:f>IF(NOT(OR(COUNT(F51:H51)&gt;0,LEN(F51&amp;G51&amp;H51)&gt;0)),"",IF(NOT(ISNUMBER(I51)),"Lỗi/thiếu số đúng-tổng",IF(OR(MOD(F51,1)&lt;&gt;0,MOD(G51,1)&lt;&gt;0),"Lỗi/thiếu số đúng-tổng",IF(OR(AND(B51&lt;&gt;"N4",B51&lt;&gt;"N3",B51&lt;&gt;"N2"),AND(C51&lt;&gt;"Từ và kanji",C51&lt;&gt;"Ngữ pháp",C51&lt;&gt;"Đọc",C51&lt;&gt;"Nghe")),"Sai cấp/kỹ năng",IF(OR(NOT(ISNUMBER(A51)),A51&lt;1),"Thiếu ngày đo",IF(D51="","Thiếu mã bài",IF(AND(E51&lt;&gt;"Mới",E51&lt;&gt;"Ôn lại"),"Thiếu loại câu",IF(OR(NOT(ISNUMBER(H51)),H51&lt;=0),"Thiếu phút",IF(AND(E51="Mới",COUNTIFS($B$8:$B$79,B51,$C$8:$C$79,C51,$D$8:$D$79,D51,$E$8:$E$79,"Mới",$G$8:$G$79,"&gt;0")&gt;1),"Trùng câu mới","Hợp lệ")))))))))</x:f>
      </x:c>
    </x:row>
    <x:row r="52" ht="25" customHeight="1">
      <x:c r="A52" s="28" t="n">
        <x:v>46345</x:v>
      </x:c>
      <x:c r="B52" s="20" t="str">
        <x:v>N3</x:v>
      </x:c>
      <x:c r="C52" s="20" t="str">
        <x:v>Từ và kanji</x:v>
      </x:c>
      <x:c r="D52" s="21"/>
      <x:c r="E52" s="20"/>
      <x:c r="F52" s="24"/>
      <x:c r="G52" s="24"/>
      <x:c r="H52" s="24"/>
      <x:c r="I52" s="30" t="str">
        <x:f>IF(OR(ISBLANK(F52),ISBLANK(G52)),"",IF(OR(NOT(ISNUMBER(F52)),NOT(ISNUMBER(G52))),"Lỗi nhập",IF(OR(G52&lt;=0,F52&lt;0,F52&gt;G52),"Lỗi nhập",F52/G52)))</x:f>
      </x:c>
      <x:c r="J52" s="21"/>
      <x:c r="K52" s="39"/>
      <x:c r="L52" s="40" t="str">
        <x:f>IF(NOT(OR(COUNT(F52:H52)&gt;0,LEN(F52&amp;G52&amp;H52)&gt;0)),"",IF(NOT(ISNUMBER(I52)),"Lỗi/thiếu số đúng-tổng",IF(OR(MOD(F52,1)&lt;&gt;0,MOD(G52,1)&lt;&gt;0),"Lỗi/thiếu số đúng-tổng",IF(OR(AND(B52&lt;&gt;"N4",B52&lt;&gt;"N3",B52&lt;&gt;"N2"),AND(C52&lt;&gt;"Từ và kanji",C52&lt;&gt;"Ngữ pháp",C52&lt;&gt;"Đọc",C52&lt;&gt;"Nghe")),"Sai cấp/kỹ năng",IF(OR(NOT(ISNUMBER(A52)),A52&lt;1),"Thiếu ngày đo",IF(D52="","Thiếu mã bài",IF(AND(E52&lt;&gt;"Mới",E52&lt;&gt;"Ôn lại"),"Thiếu loại câu",IF(OR(NOT(ISNUMBER(H52)),H52&lt;=0),"Thiếu phút",IF(AND(E52="Mới",COUNTIFS($B$8:$B$79,B52,$C$8:$C$79,C52,$D$8:$D$79,D52,$E$8:$E$79,"Mới",$G$8:$G$79,"&gt;0")&gt;1),"Trùng câu mới","Hợp lệ")))))))))</x:f>
      </x:c>
    </x:row>
    <x:row r="53" ht="25" customHeight="1">
      <x:c r="A53" s="28" t="n">
        <x:v>46345</x:v>
      </x:c>
      <x:c r="B53" s="20" t="str">
        <x:v>N3</x:v>
      </x:c>
      <x:c r="C53" s="20" t="str">
        <x:v>Ngữ pháp</x:v>
      </x:c>
      <x:c r="D53" s="21"/>
      <x:c r="E53" s="20"/>
      <x:c r="F53" s="24"/>
      <x:c r="G53" s="24"/>
      <x:c r="H53" s="24"/>
      <x:c r="I53" s="30" t="str">
        <x:f>IF(OR(ISBLANK(F53),ISBLANK(G53)),"",IF(OR(NOT(ISNUMBER(F53)),NOT(ISNUMBER(G53))),"Lỗi nhập",IF(OR(G53&lt;=0,F53&lt;0,F53&gt;G53),"Lỗi nhập",F53/G53)))</x:f>
      </x:c>
      <x:c r="J53" s="21"/>
      <x:c r="K53" s="39"/>
      <x:c r="L53" s="40" t="str">
        <x:f>IF(NOT(OR(COUNT(F53:H53)&gt;0,LEN(F53&amp;G53&amp;H53)&gt;0)),"",IF(NOT(ISNUMBER(I53)),"Lỗi/thiếu số đúng-tổng",IF(OR(MOD(F53,1)&lt;&gt;0,MOD(G53,1)&lt;&gt;0),"Lỗi/thiếu số đúng-tổng",IF(OR(AND(B53&lt;&gt;"N4",B53&lt;&gt;"N3",B53&lt;&gt;"N2"),AND(C53&lt;&gt;"Từ và kanji",C53&lt;&gt;"Ngữ pháp",C53&lt;&gt;"Đọc",C53&lt;&gt;"Nghe")),"Sai cấp/kỹ năng",IF(OR(NOT(ISNUMBER(A53)),A53&lt;1),"Thiếu ngày đo",IF(D53="","Thiếu mã bài",IF(AND(E53&lt;&gt;"Mới",E53&lt;&gt;"Ôn lại"),"Thiếu loại câu",IF(OR(NOT(ISNUMBER(H53)),H53&lt;=0),"Thiếu phút",IF(AND(E53="Mới",COUNTIFS($B$8:$B$79,B53,$C$8:$C$79,C53,$D$8:$D$79,D53,$E$8:$E$79,"Mới",$G$8:$G$79,"&gt;0")&gt;1),"Trùng câu mới","Hợp lệ")))))))))</x:f>
      </x:c>
    </x:row>
    <x:row r="54" ht="25" customHeight="1">
      <x:c r="A54" s="28" t="n">
        <x:v>46345</x:v>
      </x:c>
      <x:c r="B54" s="20" t="str">
        <x:v>N3</x:v>
      </x:c>
      <x:c r="C54" s="20" t="str">
        <x:v>Đọc</x:v>
      </x:c>
      <x:c r="D54" s="21"/>
      <x:c r="E54" s="20"/>
      <x:c r="F54" s="24"/>
      <x:c r="G54" s="24"/>
      <x:c r="H54" s="24"/>
      <x:c r="I54" s="30" t="str">
        <x:f>IF(OR(ISBLANK(F54),ISBLANK(G54)),"",IF(OR(NOT(ISNUMBER(F54)),NOT(ISNUMBER(G54))),"Lỗi nhập",IF(OR(G54&lt;=0,F54&lt;0,F54&gt;G54),"Lỗi nhập",F54/G54)))</x:f>
      </x:c>
      <x:c r="J54" s="21"/>
      <x:c r="K54" s="39"/>
      <x:c r="L54" s="40" t="str">
        <x:f>IF(NOT(OR(COUNT(F54:H54)&gt;0,LEN(F54&amp;G54&amp;H54)&gt;0)),"",IF(NOT(ISNUMBER(I54)),"Lỗi/thiếu số đúng-tổng",IF(OR(MOD(F54,1)&lt;&gt;0,MOD(G54,1)&lt;&gt;0),"Lỗi/thiếu số đúng-tổng",IF(OR(AND(B54&lt;&gt;"N4",B54&lt;&gt;"N3",B54&lt;&gt;"N2"),AND(C54&lt;&gt;"Từ và kanji",C54&lt;&gt;"Ngữ pháp",C54&lt;&gt;"Đọc",C54&lt;&gt;"Nghe")),"Sai cấp/kỹ năng",IF(OR(NOT(ISNUMBER(A54)),A54&lt;1),"Thiếu ngày đo",IF(D54="","Thiếu mã bài",IF(AND(E54&lt;&gt;"Mới",E54&lt;&gt;"Ôn lại"),"Thiếu loại câu",IF(OR(NOT(ISNUMBER(H54)),H54&lt;=0),"Thiếu phút",IF(AND(E54="Mới",COUNTIFS($B$8:$B$79,B54,$C$8:$C$79,C54,$D$8:$D$79,D54,$E$8:$E$79,"Mới",$G$8:$G$79,"&gt;0")&gt;1),"Trùng câu mới","Hợp lệ")))))))))</x:f>
      </x:c>
    </x:row>
    <x:row r="55" ht="25" customHeight="1">
      <x:c r="A55" s="28" t="n">
        <x:v>46345</x:v>
      </x:c>
      <x:c r="B55" s="20" t="str">
        <x:v>N3</x:v>
      </x:c>
      <x:c r="C55" s="20" t="str">
        <x:v>Nghe</x:v>
      </x:c>
      <x:c r="D55" s="21"/>
      <x:c r="E55" s="20"/>
      <x:c r="F55" s="24"/>
      <x:c r="G55" s="24"/>
      <x:c r="H55" s="24"/>
      <x:c r="I55" s="30" t="str">
        <x:f>IF(OR(ISBLANK(F55),ISBLANK(G55)),"",IF(OR(NOT(ISNUMBER(F55)),NOT(ISNUMBER(G55))),"Lỗi nhập",IF(OR(G55&lt;=0,F55&lt;0,F55&gt;G55),"Lỗi nhập",F55/G55)))</x:f>
      </x:c>
      <x:c r="J55" s="21"/>
      <x:c r="K55" s="39"/>
      <x:c r="L55" s="40" t="str">
        <x:f>IF(NOT(OR(COUNT(F55:H55)&gt;0,LEN(F55&amp;G55&amp;H55)&gt;0)),"",IF(NOT(ISNUMBER(I55)),"Lỗi/thiếu số đúng-tổng",IF(OR(MOD(F55,1)&lt;&gt;0,MOD(G55,1)&lt;&gt;0),"Lỗi/thiếu số đúng-tổng",IF(OR(AND(B55&lt;&gt;"N4",B55&lt;&gt;"N3",B55&lt;&gt;"N2"),AND(C55&lt;&gt;"Từ và kanji",C55&lt;&gt;"Ngữ pháp",C55&lt;&gt;"Đọc",C55&lt;&gt;"Nghe")),"Sai cấp/kỹ năng",IF(OR(NOT(ISNUMBER(A55)),A55&lt;1),"Thiếu ngày đo",IF(D55="","Thiếu mã bài",IF(AND(E55&lt;&gt;"Mới",E55&lt;&gt;"Ôn lại"),"Thiếu loại câu",IF(OR(NOT(ISNUMBER(H55)),H55&lt;=0),"Thiếu phút",IF(AND(E55="Mới",COUNTIFS($B$8:$B$79,B55,$C$8:$C$79,C55,$D$8:$D$79,D55,$E$8:$E$79,"Mới",$G$8:$G$79,"&gt;0")&gt;1),"Trùng câu mới","Hợp lệ")))))))))</x:f>
      </x:c>
    </x:row>
    <x:row r="56" ht="25" customHeight="1">
      <x:c r="A56" s="28" t="n">
        <x:v>46352</x:v>
      </x:c>
      <x:c r="B56" s="20" t="str">
        <x:v>N4</x:v>
      </x:c>
      <x:c r="C56" s="20" t="str">
        <x:v>Từ và kanji</x:v>
      </x:c>
      <x:c r="D56" s="21"/>
      <x:c r="E56" s="20"/>
      <x:c r="F56" s="24"/>
      <x:c r="G56" s="24"/>
      <x:c r="H56" s="24"/>
      <x:c r="I56" s="30" t="str">
        <x:f>IF(OR(ISBLANK(F56),ISBLANK(G56)),"",IF(OR(NOT(ISNUMBER(F56)),NOT(ISNUMBER(G56))),"Lỗi nhập",IF(OR(G56&lt;=0,F56&lt;0,F56&gt;G56),"Lỗi nhập",F56/G56)))</x:f>
      </x:c>
      <x:c r="J56" s="21"/>
      <x:c r="K56" s="39"/>
      <x:c r="L56" s="40" t="str">
        <x:f>IF(NOT(OR(COUNT(F56:H56)&gt;0,LEN(F56&amp;G56&amp;H56)&gt;0)),"",IF(NOT(ISNUMBER(I56)),"Lỗi/thiếu số đúng-tổng",IF(OR(MOD(F56,1)&lt;&gt;0,MOD(G56,1)&lt;&gt;0),"Lỗi/thiếu số đúng-tổng",IF(OR(AND(B56&lt;&gt;"N4",B56&lt;&gt;"N3",B56&lt;&gt;"N2"),AND(C56&lt;&gt;"Từ và kanji",C56&lt;&gt;"Ngữ pháp",C56&lt;&gt;"Đọc",C56&lt;&gt;"Nghe")),"Sai cấp/kỹ năng",IF(OR(NOT(ISNUMBER(A56)),A56&lt;1),"Thiếu ngày đo",IF(D56="","Thiếu mã bài",IF(AND(E56&lt;&gt;"Mới",E56&lt;&gt;"Ôn lại"),"Thiếu loại câu",IF(OR(NOT(ISNUMBER(H56)),H56&lt;=0),"Thiếu phút",IF(AND(E56="Mới",COUNTIFS($B$8:$B$79,B56,$C$8:$C$79,C56,$D$8:$D$79,D56,$E$8:$E$79,"Mới",$G$8:$G$79,"&gt;0")&gt;1),"Trùng câu mới","Hợp lệ")))))))))</x:f>
      </x:c>
    </x:row>
    <x:row r="57" ht="25" customHeight="1">
      <x:c r="A57" s="28" t="n">
        <x:v>46352</x:v>
      </x:c>
      <x:c r="B57" s="20" t="str">
        <x:v>N4</x:v>
      </x:c>
      <x:c r="C57" s="20" t="str">
        <x:v>Ngữ pháp</x:v>
      </x:c>
      <x:c r="D57" s="21"/>
      <x:c r="E57" s="20"/>
      <x:c r="F57" s="24"/>
      <x:c r="G57" s="24"/>
      <x:c r="H57" s="24"/>
      <x:c r="I57" s="30" t="str">
        <x:f>IF(OR(ISBLANK(F57),ISBLANK(G57)),"",IF(OR(NOT(ISNUMBER(F57)),NOT(ISNUMBER(G57))),"Lỗi nhập",IF(OR(G57&lt;=0,F57&lt;0,F57&gt;G57),"Lỗi nhập",F57/G57)))</x:f>
      </x:c>
      <x:c r="J57" s="21"/>
      <x:c r="K57" s="39"/>
      <x:c r="L57" s="40" t="str">
        <x:f>IF(NOT(OR(COUNT(F57:H57)&gt;0,LEN(F57&amp;G57&amp;H57)&gt;0)),"",IF(NOT(ISNUMBER(I57)),"Lỗi/thiếu số đúng-tổng",IF(OR(MOD(F57,1)&lt;&gt;0,MOD(G57,1)&lt;&gt;0),"Lỗi/thiếu số đúng-tổng",IF(OR(AND(B57&lt;&gt;"N4",B57&lt;&gt;"N3",B57&lt;&gt;"N2"),AND(C57&lt;&gt;"Từ và kanji",C57&lt;&gt;"Ngữ pháp",C57&lt;&gt;"Đọc",C57&lt;&gt;"Nghe")),"Sai cấp/kỹ năng",IF(OR(NOT(ISNUMBER(A57)),A57&lt;1),"Thiếu ngày đo",IF(D57="","Thiếu mã bài",IF(AND(E57&lt;&gt;"Mới",E57&lt;&gt;"Ôn lại"),"Thiếu loại câu",IF(OR(NOT(ISNUMBER(H57)),H57&lt;=0),"Thiếu phút",IF(AND(E57="Mới",COUNTIFS($B$8:$B$79,B57,$C$8:$C$79,C57,$D$8:$D$79,D57,$E$8:$E$79,"Mới",$G$8:$G$79,"&gt;0")&gt;1),"Trùng câu mới","Hợp lệ")))))))))</x:f>
      </x:c>
    </x:row>
    <x:row r="58" ht="25" customHeight="1">
      <x:c r="A58" s="28" t="n">
        <x:v>46352</x:v>
      </x:c>
      <x:c r="B58" s="20" t="str">
        <x:v>N4</x:v>
      </x:c>
      <x:c r="C58" s="20" t="str">
        <x:v>Đọc</x:v>
      </x:c>
      <x:c r="D58" s="21"/>
      <x:c r="E58" s="20"/>
      <x:c r="F58" s="24"/>
      <x:c r="G58" s="24"/>
      <x:c r="H58" s="24"/>
      <x:c r="I58" s="30" t="str">
        <x:f>IF(OR(ISBLANK(F58),ISBLANK(G58)),"",IF(OR(NOT(ISNUMBER(F58)),NOT(ISNUMBER(G58))),"Lỗi nhập",IF(OR(G58&lt;=0,F58&lt;0,F58&gt;G58),"Lỗi nhập",F58/G58)))</x:f>
      </x:c>
      <x:c r="J58" s="21"/>
      <x:c r="K58" s="39"/>
      <x:c r="L58" s="40" t="str">
        <x:f>IF(NOT(OR(COUNT(F58:H58)&gt;0,LEN(F58&amp;G58&amp;H58)&gt;0)),"",IF(NOT(ISNUMBER(I58)),"Lỗi/thiếu số đúng-tổng",IF(OR(MOD(F58,1)&lt;&gt;0,MOD(G58,1)&lt;&gt;0),"Lỗi/thiếu số đúng-tổng",IF(OR(AND(B58&lt;&gt;"N4",B58&lt;&gt;"N3",B58&lt;&gt;"N2"),AND(C58&lt;&gt;"Từ và kanji",C58&lt;&gt;"Ngữ pháp",C58&lt;&gt;"Đọc",C58&lt;&gt;"Nghe")),"Sai cấp/kỹ năng",IF(OR(NOT(ISNUMBER(A58)),A58&lt;1),"Thiếu ngày đo",IF(D58="","Thiếu mã bài",IF(AND(E58&lt;&gt;"Mới",E58&lt;&gt;"Ôn lại"),"Thiếu loại câu",IF(OR(NOT(ISNUMBER(H58)),H58&lt;=0),"Thiếu phút",IF(AND(E58="Mới",COUNTIFS($B$8:$B$79,B58,$C$8:$C$79,C58,$D$8:$D$79,D58,$E$8:$E$79,"Mới",$G$8:$G$79,"&gt;0")&gt;1),"Trùng câu mới","Hợp lệ")))))))))</x:f>
      </x:c>
    </x:row>
    <x:row r="59" ht="25" customHeight="1">
      <x:c r="A59" s="28" t="n">
        <x:v>46352</x:v>
      </x:c>
      <x:c r="B59" s="20" t="str">
        <x:v>N4</x:v>
      </x:c>
      <x:c r="C59" s="20" t="str">
        <x:v>Nghe</x:v>
      </x:c>
      <x:c r="D59" s="21"/>
      <x:c r="E59" s="20"/>
      <x:c r="F59" s="24"/>
      <x:c r="G59" s="24"/>
      <x:c r="H59" s="24"/>
      <x:c r="I59" s="30" t="str">
        <x:f>IF(OR(ISBLANK(F59),ISBLANK(G59)),"",IF(OR(NOT(ISNUMBER(F59)),NOT(ISNUMBER(G59))),"Lỗi nhập",IF(OR(G59&lt;=0,F59&lt;0,F59&gt;G59),"Lỗi nhập",F59/G59)))</x:f>
      </x:c>
      <x:c r="J59" s="21"/>
      <x:c r="K59" s="39"/>
      <x:c r="L59" s="40" t="str">
        <x:f>IF(NOT(OR(COUNT(F59:H59)&gt;0,LEN(F59&amp;G59&amp;H59)&gt;0)),"",IF(NOT(ISNUMBER(I59)),"Lỗi/thiếu số đúng-tổng",IF(OR(MOD(F59,1)&lt;&gt;0,MOD(G59,1)&lt;&gt;0),"Lỗi/thiếu số đúng-tổng",IF(OR(AND(B59&lt;&gt;"N4",B59&lt;&gt;"N3",B59&lt;&gt;"N2"),AND(C59&lt;&gt;"Từ và kanji",C59&lt;&gt;"Ngữ pháp",C59&lt;&gt;"Đọc",C59&lt;&gt;"Nghe")),"Sai cấp/kỹ năng",IF(OR(NOT(ISNUMBER(A59)),A59&lt;1),"Thiếu ngày đo",IF(D59="","Thiếu mã bài",IF(AND(E59&lt;&gt;"Mới",E59&lt;&gt;"Ôn lại"),"Thiếu loại câu",IF(OR(NOT(ISNUMBER(H59)),H59&lt;=0),"Thiếu phút",IF(AND(E59="Mới",COUNTIFS($B$8:$B$79,B59,$C$8:$C$79,C59,$D$8:$D$79,D59,$E$8:$E$79,"Mới",$G$8:$G$79,"&gt;0")&gt;1),"Trùng câu mới","Hợp lệ")))))))))</x:f>
      </x:c>
    </x:row>
    <x:row r="60" ht="25" customHeight="1">
      <x:c r="A60" s="28" t="n">
        <x:v>46352</x:v>
      </x:c>
      <x:c r="B60" s="20" t="str">
        <x:v>N3</x:v>
      </x:c>
      <x:c r="C60" s="20" t="str">
        <x:v>Từ và kanji</x:v>
      </x:c>
      <x:c r="D60" s="21"/>
      <x:c r="E60" s="20"/>
      <x:c r="F60" s="24"/>
      <x:c r="G60" s="24"/>
      <x:c r="H60" s="24"/>
      <x:c r="I60" s="30" t="str">
        <x:f>IF(OR(ISBLANK(F60),ISBLANK(G60)),"",IF(OR(NOT(ISNUMBER(F60)),NOT(ISNUMBER(G60))),"Lỗi nhập",IF(OR(G60&lt;=0,F60&lt;0,F60&gt;G60),"Lỗi nhập",F60/G60)))</x:f>
      </x:c>
      <x:c r="J60" s="21"/>
      <x:c r="K60" s="39"/>
      <x:c r="L60" s="40" t="str">
        <x:f>IF(NOT(OR(COUNT(F60:H60)&gt;0,LEN(F60&amp;G60&amp;H60)&gt;0)),"",IF(NOT(ISNUMBER(I60)),"Lỗi/thiếu số đúng-tổng",IF(OR(MOD(F60,1)&lt;&gt;0,MOD(G60,1)&lt;&gt;0),"Lỗi/thiếu số đúng-tổng",IF(OR(AND(B60&lt;&gt;"N4",B60&lt;&gt;"N3",B60&lt;&gt;"N2"),AND(C60&lt;&gt;"Từ và kanji",C60&lt;&gt;"Ngữ pháp",C60&lt;&gt;"Đọc",C60&lt;&gt;"Nghe")),"Sai cấp/kỹ năng",IF(OR(NOT(ISNUMBER(A60)),A60&lt;1),"Thiếu ngày đo",IF(D60="","Thiếu mã bài",IF(AND(E60&lt;&gt;"Mới",E60&lt;&gt;"Ôn lại"),"Thiếu loại câu",IF(OR(NOT(ISNUMBER(H60)),H60&lt;=0),"Thiếu phút",IF(AND(E60="Mới",COUNTIFS($B$8:$B$79,B60,$C$8:$C$79,C60,$D$8:$D$79,D60,$E$8:$E$79,"Mới",$G$8:$G$79,"&gt;0")&gt;1),"Trùng câu mới","Hợp lệ")))))))))</x:f>
      </x:c>
    </x:row>
    <x:row r="61" ht="25" customHeight="1">
      <x:c r="A61" s="28" t="n">
        <x:v>46352</x:v>
      </x:c>
      <x:c r="B61" s="20" t="str">
        <x:v>N3</x:v>
      </x:c>
      <x:c r="C61" s="20" t="str">
        <x:v>Ngữ pháp</x:v>
      </x:c>
      <x:c r="D61" s="21"/>
      <x:c r="E61" s="20"/>
      <x:c r="F61" s="24"/>
      <x:c r="G61" s="24"/>
      <x:c r="H61" s="24"/>
      <x:c r="I61" s="30" t="str">
        <x:f>IF(OR(ISBLANK(F61),ISBLANK(G61)),"",IF(OR(NOT(ISNUMBER(F61)),NOT(ISNUMBER(G61))),"Lỗi nhập",IF(OR(G61&lt;=0,F61&lt;0,F61&gt;G61),"Lỗi nhập",F61/G61)))</x:f>
      </x:c>
      <x:c r="J61" s="21"/>
      <x:c r="K61" s="39"/>
      <x:c r="L61" s="40" t="str">
        <x:f>IF(NOT(OR(COUNT(F61:H61)&gt;0,LEN(F61&amp;G61&amp;H61)&gt;0)),"",IF(NOT(ISNUMBER(I61)),"Lỗi/thiếu số đúng-tổng",IF(OR(MOD(F61,1)&lt;&gt;0,MOD(G61,1)&lt;&gt;0),"Lỗi/thiếu số đúng-tổng",IF(OR(AND(B61&lt;&gt;"N4",B61&lt;&gt;"N3",B61&lt;&gt;"N2"),AND(C61&lt;&gt;"Từ và kanji",C61&lt;&gt;"Ngữ pháp",C61&lt;&gt;"Đọc",C61&lt;&gt;"Nghe")),"Sai cấp/kỹ năng",IF(OR(NOT(ISNUMBER(A61)),A61&lt;1),"Thiếu ngày đo",IF(D61="","Thiếu mã bài",IF(AND(E61&lt;&gt;"Mới",E61&lt;&gt;"Ôn lại"),"Thiếu loại câu",IF(OR(NOT(ISNUMBER(H61)),H61&lt;=0),"Thiếu phút",IF(AND(E61="Mới",COUNTIFS($B$8:$B$79,B61,$C$8:$C$79,C61,$D$8:$D$79,D61,$E$8:$E$79,"Mới",$G$8:$G$79,"&gt;0")&gt;1),"Trùng câu mới","Hợp lệ")))))))))</x:f>
      </x:c>
    </x:row>
    <x:row r="62" ht="25" customHeight="1">
      <x:c r="A62" s="28" t="n">
        <x:v>46352</x:v>
      </x:c>
      <x:c r="B62" s="20" t="str">
        <x:v>N3</x:v>
      </x:c>
      <x:c r="C62" s="20" t="str">
        <x:v>Đọc</x:v>
      </x:c>
      <x:c r="D62" s="21"/>
      <x:c r="E62" s="20"/>
      <x:c r="F62" s="24"/>
      <x:c r="G62" s="24"/>
      <x:c r="H62" s="24"/>
      <x:c r="I62" s="30" t="str">
        <x:f>IF(OR(ISBLANK(F62),ISBLANK(G62)),"",IF(OR(NOT(ISNUMBER(F62)),NOT(ISNUMBER(G62))),"Lỗi nhập",IF(OR(G62&lt;=0,F62&lt;0,F62&gt;G62),"Lỗi nhập",F62/G62)))</x:f>
      </x:c>
      <x:c r="J62" s="21"/>
      <x:c r="K62" s="39"/>
      <x:c r="L62" s="40" t="str">
        <x:f>IF(NOT(OR(COUNT(F62:H62)&gt;0,LEN(F62&amp;G62&amp;H62)&gt;0)),"",IF(NOT(ISNUMBER(I62)),"Lỗi/thiếu số đúng-tổng",IF(OR(MOD(F62,1)&lt;&gt;0,MOD(G62,1)&lt;&gt;0),"Lỗi/thiếu số đúng-tổng",IF(OR(AND(B62&lt;&gt;"N4",B62&lt;&gt;"N3",B62&lt;&gt;"N2"),AND(C62&lt;&gt;"Từ và kanji",C62&lt;&gt;"Ngữ pháp",C62&lt;&gt;"Đọc",C62&lt;&gt;"Nghe")),"Sai cấp/kỹ năng",IF(OR(NOT(ISNUMBER(A62)),A62&lt;1),"Thiếu ngày đo",IF(D62="","Thiếu mã bài",IF(AND(E62&lt;&gt;"Mới",E62&lt;&gt;"Ôn lại"),"Thiếu loại câu",IF(OR(NOT(ISNUMBER(H62)),H62&lt;=0),"Thiếu phút",IF(AND(E62="Mới",COUNTIFS($B$8:$B$79,B62,$C$8:$C$79,C62,$D$8:$D$79,D62,$E$8:$E$79,"Mới",$G$8:$G$79,"&gt;0")&gt;1),"Trùng câu mới","Hợp lệ")))))))))</x:f>
      </x:c>
    </x:row>
    <x:row r="63" ht="25" customHeight="1">
      <x:c r="A63" s="28" t="n">
        <x:v>46352</x:v>
      </x:c>
      <x:c r="B63" s="20" t="str">
        <x:v>N3</x:v>
      </x:c>
      <x:c r="C63" s="20" t="str">
        <x:v>Nghe</x:v>
      </x:c>
      <x:c r="D63" s="21"/>
      <x:c r="E63" s="20"/>
      <x:c r="F63" s="24"/>
      <x:c r="G63" s="24"/>
      <x:c r="H63" s="24"/>
      <x:c r="I63" s="30" t="str">
        <x:f>IF(OR(ISBLANK(F63),ISBLANK(G63)),"",IF(OR(NOT(ISNUMBER(F63)),NOT(ISNUMBER(G63))),"Lỗi nhập",IF(OR(G63&lt;=0,F63&lt;0,F63&gt;G63),"Lỗi nhập",F63/G63)))</x:f>
      </x:c>
      <x:c r="J63" s="21"/>
      <x:c r="K63" s="39"/>
      <x:c r="L63" s="40" t="str">
        <x:f>IF(NOT(OR(COUNT(F63:H63)&gt;0,LEN(F63&amp;G63&amp;H63)&gt;0)),"",IF(NOT(ISNUMBER(I63)),"Lỗi/thiếu số đúng-tổng",IF(OR(MOD(F63,1)&lt;&gt;0,MOD(G63,1)&lt;&gt;0),"Lỗi/thiếu số đúng-tổng",IF(OR(AND(B63&lt;&gt;"N4",B63&lt;&gt;"N3",B63&lt;&gt;"N2"),AND(C63&lt;&gt;"Từ và kanji",C63&lt;&gt;"Ngữ pháp",C63&lt;&gt;"Đọc",C63&lt;&gt;"Nghe")),"Sai cấp/kỹ năng",IF(OR(NOT(ISNUMBER(A63)),A63&lt;1),"Thiếu ngày đo",IF(D63="","Thiếu mã bài",IF(AND(E63&lt;&gt;"Mới",E63&lt;&gt;"Ôn lại"),"Thiếu loại câu",IF(OR(NOT(ISNUMBER(H63)),H63&lt;=0),"Thiếu phút",IF(AND(E63="Mới",COUNTIFS($B$8:$B$79,B63,$C$8:$C$79,C63,$D$8:$D$79,D63,$E$8:$E$79,"Mới",$G$8:$G$79,"&gt;0")&gt;1),"Trùng câu mới","Hợp lệ")))))))))</x:f>
      </x:c>
    </x:row>
    <x:row r="64" ht="25" customHeight="1">
      <x:c r="A64" s="28" t="n">
        <x:v>46359</x:v>
      </x:c>
      <x:c r="B64" s="20" t="str">
        <x:v>N4</x:v>
      </x:c>
      <x:c r="C64" s="20" t="str">
        <x:v>Từ và kanji</x:v>
      </x:c>
      <x:c r="D64" s="21"/>
      <x:c r="E64" s="20"/>
      <x:c r="F64" s="24"/>
      <x:c r="G64" s="24"/>
      <x:c r="H64" s="24"/>
      <x:c r="I64" s="30" t="str">
        <x:f>IF(OR(ISBLANK(F64),ISBLANK(G64)),"",IF(OR(NOT(ISNUMBER(F64)),NOT(ISNUMBER(G64))),"Lỗi nhập",IF(OR(G64&lt;=0,F64&lt;0,F64&gt;G64),"Lỗi nhập",F64/G64)))</x:f>
      </x:c>
      <x:c r="J64" s="21"/>
      <x:c r="K64" s="39"/>
      <x:c r="L64" s="40" t="str">
        <x:f>IF(NOT(OR(COUNT(F64:H64)&gt;0,LEN(F64&amp;G64&amp;H64)&gt;0)),"",IF(NOT(ISNUMBER(I64)),"Lỗi/thiếu số đúng-tổng",IF(OR(MOD(F64,1)&lt;&gt;0,MOD(G64,1)&lt;&gt;0),"Lỗi/thiếu số đúng-tổng",IF(OR(AND(B64&lt;&gt;"N4",B64&lt;&gt;"N3",B64&lt;&gt;"N2"),AND(C64&lt;&gt;"Từ và kanji",C64&lt;&gt;"Ngữ pháp",C64&lt;&gt;"Đọc",C64&lt;&gt;"Nghe")),"Sai cấp/kỹ năng",IF(OR(NOT(ISNUMBER(A64)),A64&lt;1),"Thiếu ngày đo",IF(D64="","Thiếu mã bài",IF(AND(E64&lt;&gt;"Mới",E64&lt;&gt;"Ôn lại"),"Thiếu loại câu",IF(OR(NOT(ISNUMBER(H64)),H64&lt;=0),"Thiếu phút",IF(AND(E64="Mới",COUNTIFS($B$8:$B$79,B64,$C$8:$C$79,C64,$D$8:$D$79,D64,$E$8:$E$79,"Mới",$G$8:$G$79,"&gt;0")&gt;1),"Trùng câu mới","Hợp lệ")))))))))</x:f>
      </x:c>
    </x:row>
    <x:row r="65" ht="25" customHeight="1">
      <x:c r="A65" s="28" t="n">
        <x:v>46359</x:v>
      </x:c>
      <x:c r="B65" s="20" t="str">
        <x:v>N4</x:v>
      </x:c>
      <x:c r="C65" s="20" t="str">
        <x:v>Ngữ pháp</x:v>
      </x:c>
      <x:c r="D65" s="21"/>
      <x:c r="E65" s="20"/>
      <x:c r="F65" s="24"/>
      <x:c r="G65" s="24"/>
      <x:c r="H65" s="24"/>
      <x:c r="I65" s="30" t="str">
        <x:f>IF(OR(ISBLANK(F65),ISBLANK(G65)),"",IF(OR(NOT(ISNUMBER(F65)),NOT(ISNUMBER(G65))),"Lỗi nhập",IF(OR(G65&lt;=0,F65&lt;0,F65&gt;G65),"Lỗi nhập",F65/G65)))</x:f>
      </x:c>
      <x:c r="J65" s="21"/>
      <x:c r="K65" s="39"/>
      <x:c r="L65" s="40" t="str">
        <x:f>IF(NOT(OR(COUNT(F65:H65)&gt;0,LEN(F65&amp;G65&amp;H65)&gt;0)),"",IF(NOT(ISNUMBER(I65)),"Lỗi/thiếu số đúng-tổng",IF(OR(MOD(F65,1)&lt;&gt;0,MOD(G65,1)&lt;&gt;0),"Lỗi/thiếu số đúng-tổng",IF(OR(AND(B65&lt;&gt;"N4",B65&lt;&gt;"N3",B65&lt;&gt;"N2"),AND(C65&lt;&gt;"Từ và kanji",C65&lt;&gt;"Ngữ pháp",C65&lt;&gt;"Đọc",C65&lt;&gt;"Nghe")),"Sai cấp/kỹ năng",IF(OR(NOT(ISNUMBER(A65)),A65&lt;1),"Thiếu ngày đo",IF(D65="","Thiếu mã bài",IF(AND(E65&lt;&gt;"Mới",E65&lt;&gt;"Ôn lại"),"Thiếu loại câu",IF(OR(NOT(ISNUMBER(H65)),H65&lt;=0),"Thiếu phút",IF(AND(E65="Mới",COUNTIFS($B$8:$B$79,B65,$C$8:$C$79,C65,$D$8:$D$79,D65,$E$8:$E$79,"Mới",$G$8:$G$79,"&gt;0")&gt;1),"Trùng câu mới","Hợp lệ")))))))))</x:f>
      </x:c>
    </x:row>
    <x:row r="66" ht="25" customHeight="1">
      <x:c r="A66" s="28" t="n">
        <x:v>46359</x:v>
      </x:c>
      <x:c r="B66" s="20" t="str">
        <x:v>N4</x:v>
      </x:c>
      <x:c r="C66" s="20" t="str">
        <x:v>Đọc</x:v>
      </x:c>
      <x:c r="D66" s="21"/>
      <x:c r="E66" s="20"/>
      <x:c r="F66" s="24"/>
      <x:c r="G66" s="24"/>
      <x:c r="H66" s="24"/>
      <x:c r="I66" s="30" t="str">
        <x:f>IF(OR(ISBLANK(F66),ISBLANK(G66)),"",IF(OR(NOT(ISNUMBER(F66)),NOT(ISNUMBER(G66))),"Lỗi nhập",IF(OR(G66&lt;=0,F66&lt;0,F66&gt;G66),"Lỗi nhập",F66/G66)))</x:f>
      </x:c>
      <x:c r="J66" s="21"/>
      <x:c r="K66" s="39"/>
      <x:c r="L66" s="40" t="str">
        <x:f>IF(NOT(OR(COUNT(F66:H66)&gt;0,LEN(F66&amp;G66&amp;H66)&gt;0)),"",IF(NOT(ISNUMBER(I66)),"Lỗi/thiếu số đúng-tổng",IF(OR(MOD(F66,1)&lt;&gt;0,MOD(G66,1)&lt;&gt;0),"Lỗi/thiếu số đúng-tổng",IF(OR(AND(B66&lt;&gt;"N4",B66&lt;&gt;"N3",B66&lt;&gt;"N2"),AND(C66&lt;&gt;"Từ và kanji",C66&lt;&gt;"Ngữ pháp",C66&lt;&gt;"Đọc",C66&lt;&gt;"Nghe")),"Sai cấp/kỹ năng",IF(OR(NOT(ISNUMBER(A66)),A66&lt;1),"Thiếu ngày đo",IF(D66="","Thiếu mã bài",IF(AND(E66&lt;&gt;"Mới",E66&lt;&gt;"Ôn lại"),"Thiếu loại câu",IF(OR(NOT(ISNUMBER(H66)),H66&lt;=0),"Thiếu phút",IF(AND(E66="Mới",COUNTIFS($B$8:$B$79,B66,$C$8:$C$79,C66,$D$8:$D$79,D66,$E$8:$E$79,"Mới",$G$8:$G$79,"&gt;0")&gt;1),"Trùng câu mới","Hợp lệ")))))))))</x:f>
      </x:c>
    </x:row>
    <x:row r="67" ht="25" customHeight="1">
      <x:c r="A67" s="28" t="n">
        <x:v>46359</x:v>
      </x:c>
      <x:c r="B67" s="20" t="str">
        <x:v>N4</x:v>
      </x:c>
      <x:c r="C67" s="20" t="str">
        <x:v>Nghe</x:v>
      </x:c>
      <x:c r="D67" s="21"/>
      <x:c r="E67" s="20"/>
      <x:c r="F67" s="24"/>
      <x:c r="G67" s="24"/>
      <x:c r="H67" s="24"/>
      <x:c r="I67" s="30" t="str">
        <x:f>IF(OR(ISBLANK(F67),ISBLANK(G67)),"",IF(OR(NOT(ISNUMBER(F67)),NOT(ISNUMBER(G67))),"Lỗi nhập",IF(OR(G67&lt;=0,F67&lt;0,F67&gt;G67),"Lỗi nhập",F67/G67)))</x:f>
      </x:c>
      <x:c r="J67" s="21"/>
      <x:c r="K67" s="39"/>
      <x:c r="L67" s="40" t="str">
        <x:f>IF(NOT(OR(COUNT(F67:H67)&gt;0,LEN(F67&amp;G67&amp;H67)&gt;0)),"",IF(NOT(ISNUMBER(I67)),"Lỗi/thiếu số đúng-tổng",IF(OR(MOD(F67,1)&lt;&gt;0,MOD(G67,1)&lt;&gt;0),"Lỗi/thiếu số đúng-tổng",IF(OR(AND(B67&lt;&gt;"N4",B67&lt;&gt;"N3",B67&lt;&gt;"N2"),AND(C67&lt;&gt;"Từ và kanji",C67&lt;&gt;"Ngữ pháp",C67&lt;&gt;"Đọc",C67&lt;&gt;"Nghe")),"Sai cấp/kỹ năng",IF(OR(NOT(ISNUMBER(A67)),A67&lt;1),"Thiếu ngày đo",IF(D67="","Thiếu mã bài",IF(AND(E67&lt;&gt;"Mới",E67&lt;&gt;"Ôn lại"),"Thiếu loại câu",IF(OR(NOT(ISNUMBER(H67)),H67&lt;=0),"Thiếu phút",IF(AND(E67="Mới",COUNTIFS($B$8:$B$79,B67,$C$8:$C$79,C67,$D$8:$D$79,D67,$E$8:$E$79,"Mới",$G$8:$G$79,"&gt;0")&gt;1),"Trùng câu mới","Hợp lệ")))))))))</x:f>
      </x:c>
    </x:row>
    <x:row r="68" ht="25" customHeight="1">
      <x:c r="A68" s="28" t="n">
        <x:v>46359</x:v>
      </x:c>
      <x:c r="B68" s="20" t="str">
        <x:v>N3</x:v>
      </x:c>
      <x:c r="C68" s="20" t="str">
        <x:v>Từ và kanji</x:v>
      </x:c>
      <x:c r="D68" s="21"/>
      <x:c r="E68" s="20"/>
      <x:c r="F68" s="24"/>
      <x:c r="G68" s="24"/>
      <x:c r="H68" s="24"/>
      <x:c r="I68" s="30" t="str">
        <x:f>IF(OR(ISBLANK(F68),ISBLANK(G68)),"",IF(OR(NOT(ISNUMBER(F68)),NOT(ISNUMBER(G68))),"Lỗi nhập",IF(OR(G68&lt;=0,F68&lt;0,F68&gt;G68),"Lỗi nhập",F68/G68)))</x:f>
      </x:c>
      <x:c r="J68" s="21"/>
      <x:c r="K68" s="39"/>
      <x:c r="L68" s="40" t="str">
        <x:f>IF(NOT(OR(COUNT(F68:H68)&gt;0,LEN(F68&amp;G68&amp;H68)&gt;0)),"",IF(NOT(ISNUMBER(I68)),"Lỗi/thiếu số đúng-tổng",IF(OR(MOD(F68,1)&lt;&gt;0,MOD(G68,1)&lt;&gt;0),"Lỗi/thiếu số đúng-tổng",IF(OR(AND(B68&lt;&gt;"N4",B68&lt;&gt;"N3",B68&lt;&gt;"N2"),AND(C68&lt;&gt;"Từ và kanji",C68&lt;&gt;"Ngữ pháp",C68&lt;&gt;"Đọc",C68&lt;&gt;"Nghe")),"Sai cấp/kỹ năng",IF(OR(NOT(ISNUMBER(A68)),A68&lt;1),"Thiếu ngày đo",IF(D68="","Thiếu mã bài",IF(AND(E68&lt;&gt;"Mới",E68&lt;&gt;"Ôn lại"),"Thiếu loại câu",IF(OR(NOT(ISNUMBER(H68)),H68&lt;=0),"Thiếu phút",IF(AND(E68="Mới",COUNTIFS($B$8:$B$79,B68,$C$8:$C$79,C68,$D$8:$D$79,D68,$E$8:$E$79,"Mới",$G$8:$G$79,"&gt;0")&gt;1),"Trùng câu mới","Hợp lệ")))))))))</x:f>
      </x:c>
    </x:row>
    <x:row r="69" ht="25" customHeight="1">
      <x:c r="A69" s="28" t="n">
        <x:v>46359</x:v>
      </x:c>
      <x:c r="B69" s="20" t="str">
        <x:v>N3</x:v>
      </x:c>
      <x:c r="C69" s="20" t="str">
        <x:v>Ngữ pháp</x:v>
      </x:c>
      <x:c r="D69" s="21"/>
      <x:c r="E69" s="20"/>
      <x:c r="F69" s="24"/>
      <x:c r="G69" s="24"/>
      <x:c r="H69" s="24"/>
      <x:c r="I69" s="30" t="str">
        <x:f>IF(OR(ISBLANK(F69),ISBLANK(G69)),"",IF(OR(NOT(ISNUMBER(F69)),NOT(ISNUMBER(G69))),"Lỗi nhập",IF(OR(G69&lt;=0,F69&lt;0,F69&gt;G69),"Lỗi nhập",F69/G69)))</x:f>
      </x:c>
      <x:c r="J69" s="21"/>
      <x:c r="K69" s="39"/>
      <x:c r="L69" s="40" t="str">
        <x:f>IF(NOT(OR(COUNT(F69:H69)&gt;0,LEN(F69&amp;G69&amp;H69)&gt;0)),"",IF(NOT(ISNUMBER(I69)),"Lỗi/thiếu số đúng-tổng",IF(OR(MOD(F69,1)&lt;&gt;0,MOD(G69,1)&lt;&gt;0),"Lỗi/thiếu số đúng-tổng",IF(OR(AND(B69&lt;&gt;"N4",B69&lt;&gt;"N3",B69&lt;&gt;"N2"),AND(C69&lt;&gt;"Từ và kanji",C69&lt;&gt;"Ngữ pháp",C69&lt;&gt;"Đọc",C69&lt;&gt;"Nghe")),"Sai cấp/kỹ năng",IF(OR(NOT(ISNUMBER(A69)),A69&lt;1),"Thiếu ngày đo",IF(D69="","Thiếu mã bài",IF(AND(E69&lt;&gt;"Mới",E69&lt;&gt;"Ôn lại"),"Thiếu loại câu",IF(OR(NOT(ISNUMBER(H69)),H69&lt;=0),"Thiếu phút",IF(AND(E69="Mới",COUNTIFS($B$8:$B$79,B69,$C$8:$C$79,C69,$D$8:$D$79,D69,$E$8:$E$79,"Mới",$G$8:$G$79,"&gt;0")&gt;1),"Trùng câu mới","Hợp lệ")))))))))</x:f>
      </x:c>
    </x:row>
    <x:row r="70" ht="25" customHeight="1">
      <x:c r="A70" s="28" t="n">
        <x:v>46359</x:v>
      </x:c>
      <x:c r="B70" s="20" t="str">
        <x:v>N3</x:v>
      </x:c>
      <x:c r="C70" s="20" t="str">
        <x:v>Đọc</x:v>
      </x:c>
      <x:c r="D70" s="21"/>
      <x:c r="E70" s="20"/>
      <x:c r="F70" s="24"/>
      <x:c r="G70" s="24"/>
      <x:c r="H70" s="24"/>
      <x:c r="I70" s="30" t="str">
        <x:f>IF(OR(ISBLANK(F70),ISBLANK(G70)),"",IF(OR(NOT(ISNUMBER(F70)),NOT(ISNUMBER(G70))),"Lỗi nhập",IF(OR(G70&lt;=0,F70&lt;0,F70&gt;G70),"Lỗi nhập",F70/G70)))</x:f>
      </x:c>
      <x:c r="J70" s="21"/>
      <x:c r="K70" s="39"/>
      <x:c r="L70" s="40" t="str">
        <x:f>IF(NOT(OR(COUNT(F70:H70)&gt;0,LEN(F70&amp;G70&amp;H70)&gt;0)),"",IF(NOT(ISNUMBER(I70)),"Lỗi/thiếu số đúng-tổng",IF(OR(MOD(F70,1)&lt;&gt;0,MOD(G70,1)&lt;&gt;0),"Lỗi/thiếu số đúng-tổng",IF(OR(AND(B70&lt;&gt;"N4",B70&lt;&gt;"N3",B70&lt;&gt;"N2"),AND(C70&lt;&gt;"Từ và kanji",C70&lt;&gt;"Ngữ pháp",C70&lt;&gt;"Đọc",C70&lt;&gt;"Nghe")),"Sai cấp/kỹ năng",IF(OR(NOT(ISNUMBER(A70)),A70&lt;1),"Thiếu ngày đo",IF(D70="","Thiếu mã bài",IF(AND(E70&lt;&gt;"Mới",E70&lt;&gt;"Ôn lại"),"Thiếu loại câu",IF(OR(NOT(ISNUMBER(H70)),H70&lt;=0),"Thiếu phút",IF(AND(E70="Mới",COUNTIFS($B$8:$B$79,B70,$C$8:$C$79,C70,$D$8:$D$79,D70,$E$8:$E$79,"Mới",$G$8:$G$79,"&gt;0")&gt;1),"Trùng câu mới","Hợp lệ")))))))))</x:f>
      </x:c>
    </x:row>
    <x:row r="71" ht="25" customHeight="1">
      <x:c r="A71" s="28" t="n">
        <x:v>46359</x:v>
      </x:c>
      <x:c r="B71" s="20" t="str">
        <x:v>N3</x:v>
      </x:c>
      <x:c r="C71" s="20" t="str">
        <x:v>Nghe</x:v>
      </x:c>
      <x:c r="D71" s="21"/>
      <x:c r="E71" s="20"/>
      <x:c r="F71" s="24"/>
      <x:c r="G71" s="24"/>
      <x:c r="H71" s="24"/>
      <x:c r="I71" s="30" t="str">
        <x:f>IF(OR(ISBLANK(F71),ISBLANK(G71)),"",IF(OR(NOT(ISNUMBER(F71)),NOT(ISNUMBER(G71))),"Lỗi nhập",IF(OR(G71&lt;=0,F71&lt;0,F71&gt;G71),"Lỗi nhập",F71/G71)))</x:f>
      </x:c>
      <x:c r="J71" s="21"/>
      <x:c r="K71" s="39"/>
      <x:c r="L71" s="40" t="str">
        <x:f>IF(NOT(OR(COUNT(F71:H71)&gt;0,LEN(F71&amp;G71&amp;H71)&gt;0)),"",IF(NOT(ISNUMBER(I71)),"Lỗi/thiếu số đúng-tổng",IF(OR(MOD(F71,1)&lt;&gt;0,MOD(G71,1)&lt;&gt;0),"Lỗi/thiếu số đúng-tổng",IF(OR(AND(B71&lt;&gt;"N4",B71&lt;&gt;"N3",B71&lt;&gt;"N2"),AND(C71&lt;&gt;"Từ và kanji",C71&lt;&gt;"Ngữ pháp",C71&lt;&gt;"Đọc",C71&lt;&gt;"Nghe")),"Sai cấp/kỹ năng",IF(OR(NOT(ISNUMBER(A71)),A71&lt;1),"Thiếu ngày đo",IF(D71="","Thiếu mã bài",IF(AND(E71&lt;&gt;"Mới",E71&lt;&gt;"Ôn lại"),"Thiếu loại câu",IF(OR(NOT(ISNUMBER(H71)),H71&lt;=0),"Thiếu phút",IF(AND(E71="Mới",COUNTIFS($B$8:$B$79,B71,$C$8:$C$79,C71,$D$8:$D$79,D71,$E$8:$E$79,"Mới",$G$8:$G$79,"&gt;0")&gt;1),"Trùng câu mới","Hợp lệ")))))))))</x:f>
      </x:c>
    </x:row>
    <x:row r="72" ht="25" customHeight="1">
      <x:c r="A72" s="48" t="str">
        <x:f>IF(AND('Làm nhanh'!P174="Đã chấm"),MAX('Làm nhanh'!M174),"")</x:f>
      </x:c>
      <x:c r="B72" s="40" t="str">
        <x:v>N4</x:v>
      </x:c>
      <x:c r="C72" s="40" t="str">
        <x:v>Từ và kanji</x:v>
      </x:c>
      <x:c r="D72" s="49" t="str">
        <x:v>START18-N4-V</x:v>
      </x:c>
      <x:c r="E72" s="40" t="str">
        <x:f>IF(AND('Làm nhanh'!P174="Đã chấm"),IF(AND('Làm nhanh'!O174="Mới"),"Mới","Ôn lại"),"")</x:f>
      </x:c>
      <x:c r="F72" s="50" t="str">
        <x:f>IF(AND('Làm nhanh'!P174="Đã chấm"),SUM('Làm nhanh'!L174),"")</x:f>
      </x:c>
      <x:c r="G72" s="50" t="str">
        <x:f>IF(AND('Làm nhanh'!P174="Đã chấm"),SUM('Làm nhanh'!K174),"")</x:f>
      </x:c>
      <x:c r="H72" s="50" t="str">
        <x:f>IF(AND('Làm nhanh'!P174="Đã chấm"),SUM('Làm nhanh'!N174),"")</x:f>
      </x:c>
      <x:c r="I72" s="51" t="str">
        <x:f>IF(COUNT(F72:G72)&lt;2,"",IF(OR(G72&lt;=0,F72&lt;0,F72&gt;G72),"Lỗi nhập",F72/G72))</x:f>
      </x:c>
      <x:c r="J72" s="49"/>
      <x:c r="K72" s="39"/>
      <x:c r="L72" s="40" t="str">
        <x:f>IF(NOT(OR(COUNT(F72:H72)&gt;0,LEN(F72&amp;G72&amp;H72)&gt;0)),"",IF(NOT(ISNUMBER(I72)),"Lỗi/thiếu số đúng-tổng",IF(OR(MOD(F72,1)&lt;&gt;0,MOD(G72,1)&lt;&gt;0),"Lỗi/thiếu số đúng-tổng",IF(OR(AND(B72&lt;&gt;"N4",B72&lt;&gt;"N3",B72&lt;&gt;"N2"),AND(C72&lt;&gt;"Từ và kanji",C72&lt;&gt;"Ngữ pháp",C72&lt;&gt;"Đọc",C72&lt;&gt;"Nghe")),"Sai cấp/kỹ năng",IF(OR(NOT(ISNUMBER(A72)),A72&lt;1),"Thiếu ngày đo",IF(D72="","Thiếu mã bài",IF(AND(E72&lt;&gt;"Mới",E72&lt;&gt;"Ôn lại"),"Thiếu loại câu",IF(OR(NOT(ISNUMBER(H72)),H72&lt;=0),"Thiếu phút",IF(AND(E72="Mới",COUNTIFS($B$8:$B$79,B72,$C$8:$C$79,C72,$D$8:$D$79,D72,$E$8:$E$79,"Mới",$G$8:$G$79,"&gt;0")&gt;1),"Trùng câu mới","Hợp lệ")))))))))</x:f>
      </x:c>
    </x:row>
    <x:row r="73" ht="25" customHeight="1">
      <x:c r="A73" s="48" t="str">
        <x:f>IF(AND('Làm nhanh'!P172="Đã chấm",'Làm nhanh'!P173="Đã chấm"),MAX('Làm nhanh'!M172,'Làm nhanh'!M173),"")</x:f>
      </x:c>
      <x:c r="B73" s="40" t="str">
        <x:v>N4</x:v>
      </x:c>
      <x:c r="C73" s="40" t="str">
        <x:v>Ngữ pháp</x:v>
      </x:c>
      <x:c r="D73" s="49" t="str">
        <x:v>START18-N4-G</x:v>
      </x:c>
      <x:c r="E73" s="40" t="str">
        <x:f>IF(AND('Làm nhanh'!P172="Đã chấm",'Làm nhanh'!P173="Đã chấm"),IF(AND('Làm nhanh'!O172="Mới",'Làm nhanh'!O173="Mới"),"Mới","Ôn lại"),"")</x:f>
      </x:c>
      <x:c r="F73" s="50" t="str">
        <x:f>IF(AND('Làm nhanh'!P172="Đã chấm",'Làm nhanh'!P173="Đã chấm"),SUM('Làm nhanh'!L172,'Làm nhanh'!L173),"")</x:f>
      </x:c>
      <x:c r="G73" s="50" t="str">
        <x:f>IF(AND('Làm nhanh'!P172="Đã chấm",'Làm nhanh'!P173="Đã chấm"),SUM('Làm nhanh'!K172,'Làm nhanh'!K173),"")</x:f>
      </x:c>
      <x:c r="H73" s="50" t="str">
        <x:f>IF(AND('Làm nhanh'!P172="Đã chấm",'Làm nhanh'!P173="Đã chấm"),SUM('Làm nhanh'!N172,'Làm nhanh'!N173),"")</x:f>
      </x:c>
      <x:c r="I73" s="51" t="str">
        <x:f>IF(COUNT(F73:G73)&lt;2,"",IF(OR(G73&lt;=0,F73&lt;0,F73&gt;G73),"Lỗi nhập",F73/G73))</x:f>
      </x:c>
      <x:c r="J73" s="49"/>
      <x:c r="K73" s="39"/>
      <x:c r="L73" s="40" t="str">
        <x:f>IF(NOT(OR(COUNT(F73:H73)&gt;0,LEN(F73&amp;G73&amp;H73)&gt;0)),"",IF(NOT(ISNUMBER(I73)),"Lỗi/thiếu số đúng-tổng",IF(OR(MOD(F73,1)&lt;&gt;0,MOD(G73,1)&lt;&gt;0),"Lỗi/thiếu số đúng-tổng",IF(OR(AND(B73&lt;&gt;"N4",B73&lt;&gt;"N3",B73&lt;&gt;"N2"),AND(C73&lt;&gt;"Từ và kanji",C73&lt;&gt;"Ngữ pháp",C73&lt;&gt;"Đọc",C73&lt;&gt;"Nghe")),"Sai cấp/kỹ năng",IF(OR(NOT(ISNUMBER(A73)),A73&lt;1),"Thiếu ngày đo",IF(D73="","Thiếu mã bài",IF(AND(E73&lt;&gt;"Mới",E73&lt;&gt;"Ôn lại"),"Thiếu loại câu",IF(OR(NOT(ISNUMBER(H73)),H73&lt;=0),"Thiếu phút",IF(AND(E73="Mới",COUNTIFS($B$8:$B$79,B73,$C$8:$C$79,C73,$D$8:$D$79,D73,$E$8:$E$79,"Mới",$G$8:$G$79,"&gt;0")&gt;1),"Trùng câu mới","Hợp lệ")))))))))</x:f>
      </x:c>
    </x:row>
    <x:row r="74" ht="25" customHeight="1">
      <x:c r="A74" s="48" t="str">
        <x:f>IF(AND('Làm nhanh'!P175="Đã chấm"),MAX('Làm nhanh'!M175),"")</x:f>
      </x:c>
      <x:c r="B74" s="40" t="str">
        <x:v>N4</x:v>
      </x:c>
      <x:c r="C74" s="40" t="str">
        <x:v>Đọc</x:v>
      </x:c>
      <x:c r="D74" s="49" t="str">
        <x:v>START18-N4-R</x:v>
      </x:c>
      <x:c r="E74" s="40" t="str">
        <x:f>IF(AND('Làm nhanh'!P175="Đã chấm"),IF(AND('Làm nhanh'!O175="Mới"),"Mới","Ôn lại"),"")</x:f>
      </x:c>
      <x:c r="F74" s="50" t="str">
        <x:f>IF(AND('Làm nhanh'!P175="Đã chấm"),SUM('Làm nhanh'!L175),"")</x:f>
      </x:c>
      <x:c r="G74" s="50" t="str">
        <x:f>IF(AND('Làm nhanh'!P175="Đã chấm"),SUM('Làm nhanh'!K175),"")</x:f>
      </x:c>
      <x:c r="H74" s="50" t="str">
        <x:f>IF(AND('Làm nhanh'!P175="Đã chấm"),SUM('Làm nhanh'!N175),"")</x:f>
      </x:c>
      <x:c r="I74" s="51" t="str">
        <x:f>IF(COUNT(F74:G74)&lt;2,"",IF(OR(G74&lt;=0,F74&lt;0,F74&gt;G74),"Lỗi nhập",F74/G74))</x:f>
      </x:c>
      <x:c r="J74" s="49"/>
      <x:c r="K74" s="39"/>
      <x:c r="L74" s="40" t="str">
        <x:f>IF(NOT(OR(COUNT(F74:H74)&gt;0,LEN(F74&amp;G74&amp;H74)&gt;0)),"",IF(NOT(ISNUMBER(I74)),"Lỗi/thiếu số đúng-tổng",IF(OR(MOD(F74,1)&lt;&gt;0,MOD(G74,1)&lt;&gt;0),"Lỗi/thiếu số đúng-tổng",IF(OR(AND(B74&lt;&gt;"N4",B74&lt;&gt;"N3",B74&lt;&gt;"N2"),AND(C74&lt;&gt;"Từ và kanji",C74&lt;&gt;"Ngữ pháp",C74&lt;&gt;"Đọc",C74&lt;&gt;"Nghe")),"Sai cấp/kỹ năng",IF(OR(NOT(ISNUMBER(A74)),A74&lt;1),"Thiếu ngày đo",IF(D74="","Thiếu mã bài",IF(AND(E74&lt;&gt;"Mới",E74&lt;&gt;"Ôn lại"),"Thiếu loại câu",IF(OR(NOT(ISNUMBER(H74)),H74&lt;=0),"Thiếu phút",IF(AND(E74="Mới",COUNTIFS($B$8:$B$79,B74,$C$8:$C$79,C74,$D$8:$D$79,D74,$E$8:$E$79,"Mới",$G$8:$G$79,"&gt;0")&gt;1),"Trùng câu mới","Hợp lệ")))))))))</x:f>
      </x:c>
    </x:row>
    <x:row r="75" ht="25" customHeight="1">
      <x:c r="A75" s="48" t="str">
        <x:f>IF(AND('Làm nhanh'!P176="Đã chấm",'Làm nhanh'!P177="Đã chấm"),MAX('Làm nhanh'!M176,'Làm nhanh'!M177),"")</x:f>
      </x:c>
      <x:c r="B75" s="40" t="str">
        <x:v>N4</x:v>
      </x:c>
      <x:c r="C75" s="40" t="str">
        <x:v>Nghe</x:v>
      </x:c>
      <x:c r="D75" s="49" t="str">
        <x:v>START18-N4-L</x:v>
      </x:c>
      <x:c r="E75" s="40" t="str">
        <x:f>IF(AND('Làm nhanh'!P176="Đã chấm",'Làm nhanh'!P177="Đã chấm"),IF(AND('Làm nhanh'!O176="Mới",'Làm nhanh'!O177="Mới"),"Mới","Ôn lại"),"")</x:f>
      </x:c>
      <x:c r="F75" s="50" t="str">
        <x:f>IF(AND('Làm nhanh'!P176="Đã chấm",'Làm nhanh'!P177="Đã chấm"),SUM('Làm nhanh'!L176,'Làm nhanh'!L177),"")</x:f>
      </x:c>
      <x:c r="G75" s="50" t="str">
        <x:f>IF(AND('Làm nhanh'!P176="Đã chấm",'Làm nhanh'!P177="Đã chấm"),SUM('Làm nhanh'!K176,'Làm nhanh'!K177),"")</x:f>
      </x:c>
      <x:c r="H75" s="50" t="str">
        <x:f>IF(AND('Làm nhanh'!P176="Đã chấm",'Làm nhanh'!P177="Đã chấm"),SUM('Làm nhanh'!N176,'Làm nhanh'!N177),"")</x:f>
      </x:c>
      <x:c r="I75" s="51" t="str">
        <x:f>IF(COUNT(F75:G75)&lt;2,"",IF(OR(G75&lt;=0,F75&lt;0,F75&gt;G75),"Lỗi nhập",F75/G75))</x:f>
      </x:c>
      <x:c r="J75" s="49"/>
      <x:c r="K75" s="39"/>
      <x:c r="L75" s="40" t="str">
        <x:f>IF(NOT(OR(COUNT(F75:H75)&gt;0,LEN(F75&amp;G75&amp;H75)&gt;0)),"",IF(NOT(ISNUMBER(I75)),"Lỗi/thiếu số đúng-tổng",IF(OR(MOD(F75,1)&lt;&gt;0,MOD(G75,1)&lt;&gt;0),"Lỗi/thiếu số đúng-tổng",IF(OR(AND(B75&lt;&gt;"N4",B75&lt;&gt;"N3",B75&lt;&gt;"N2"),AND(C75&lt;&gt;"Từ và kanji",C75&lt;&gt;"Ngữ pháp",C75&lt;&gt;"Đọc",C75&lt;&gt;"Nghe")),"Sai cấp/kỹ năng",IF(OR(NOT(ISNUMBER(A75)),A75&lt;1),"Thiếu ngày đo",IF(D75="","Thiếu mã bài",IF(AND(E75&lt;&gt;"Mới",E75&lt;&gt;"Ôn lại"),"Thiếu loại câu",IF(OR(NOT(ISNUMBER(H75)),H75&lt;=0),"Thiếu phút",IF(AND(E75="Mới",COUNTIFS($B$8:$B$79,B75,$C$8:$C$79,C75,$D$8:$D$79,D75,$E$8:$E$79,"Mới",$G$8:$G$79,"&gt;0")&gt;1),"Trùng câu mới","Hợp lệ")))))))))</x:f>
      </x:c>
    </x:row>
    <x:row r="76" ht="25" customHeight="1">
      <x:c r="A76" s="48" t="str">
        <x:f>IF(AND('Làm nhanh'!P179="Đã chấm"),MAX('Làm nhanh'!M179),"")</x:f>
      </x:c>
      <x:c r="B76" s="40" t="str">
        <x:v>N3</x:v>
      </x:c>
      <x:c r="C76" s="40" t="str">
        <x:v>Từ và kanji</x:v>
      </x:c>
      <x:c r="D76" s="49" t="str">
        <x:v>START18-N3-V</x:v>
      </x:c>
      <x:c r="E76" s="40" t="str">
        <x:f>IF(AND('Làm nhanh'!P179="Đã chấm"),IF(AND('Làm nhanh'!O179="Mới"),"Mới","Ôn lại"),"")</x:f>
      </x:c>
      <x:c r="F76" s="50" t="str">
        <x:f>IF(AND('Làm nhanh'!P179="Đã chấm"),SUM('Làm nhanh'!L179),"")</x:f>
      </x:c>
      <x:c r="G76" s="50" t="str">
        <x:f>IF(AND('Làm nhanh'!P179="Đã chấm"),SUM('Làm nhanh'!K179),"")</x:f>
      </x:c>
      <x:c r="H76" s="50" t="str">
        <x:f>IF(AND('Làm nhanh'!P179="Đã chấm"),SUM('Làm nhanh'!N179),"")</x:f>
      </x:c>
      <x:c r="I76" s="51" t="str">
        <x:f>IF(COUNT(F76:G76)&lt;2,"",IF(OR(G76&lt;=0,F76&lt;0,F76&gt;G76),"Lỗi nhập",F76/G76))</x:f>
      </x:c>
      <x:c r="J76" s="49"/>
      <x:c r="K76" s="39"/>
      <x:c r="L76" s="40" t="str">
        <x:f>IF(NOT(OR(COUNT(F76:H76)&gt;0,LEN(F76&amp;G76&amp;H76)&gt;0)),"",IF(NOT(ISNUMBER(I76)),"Lỗi/thiếu số đúng-tổng",IF(OR(MOD(F76,1)&lt;&gt;0,MOD(G76,1)&lt;&gt;0),"Lỗi/thiếu số đúng-tổng",IF(OR(AND(B76&lt;&gt;"N4",B76&lt;&gt;"N3",B76&lt;&gt;"N2"),AND(C76&lt;&gt;"Từ và kanji",C76&lt;&gt;"Ngữ pháp",C76&lt;&gt;"Đọc",C76&lt;&gt;"Nghe")),"Sai cấp/kỹ năng",IF(OR(NOT(ISNUMBER(A76)),A76&lt;1),"Thiếu ngày đo",IF(D76="","Thiếu mã bài",IF(AND(E76&lt;&gt;"Mới",E76&lt;&gt;"Ôn lại"),"Thiếu loại câu",IF(OR(NOT(ISNUMBER(H76)),H76&lt;=0),"Thiếu phút",IF(AND(E76="Mới",COUNTIFS($B$8:$B$79,B76,$C$8:$C$79,C76,$D$8:$D$79,D76,$E$8:$E$79,"Mới",$G$8:$G$79,"&gt;0")&gt;1),"Trùng câu mới","Hợp lệ")))))))))</x:f>
      </x:c>
    </x:row>
    <x:row r="77" ht="25" customHeight="1">
      <x:c r="A77" s="48" t="str">
        <x:f>IF(AND('Làm nhanh'!P178="Đã chấm"),MAX('Làm nhanh'!M178),"")</x:f>
      </x:c>
      <x:c r="B77" s="40" t="str">
        <x:v>N3</x:v>
      </x:c>
      <x:c r="C77" s="40" t="str">
        <x:v>Ngữ pháp</x:v>
      </x:c>
      <x:c r="D77" s="49" t="str">
        <x:v>START18-N3-G</x:v>
      </x:c>
      <x:c r="E77" s="40" t="str">
        <x:f>IF(AND('Làm nhanh'!P178="Đã chấm"),IF(AND('Làm nhanh'!O178="Mới"),"Mới","Ôn lại"),"")</x:f>
      </x:c>
      <x:c r="F77" s="50" t="str">
        <x:f>IF(AND('Làm nhanh'!P178="Đã chấm"),SUM('Làm nhanh'!L178),"")</x:f>
      </x:c>
      <x:c r="G77" s="50" t="str">
        <x:f>IF(AND('Làm nhanh'!P178="Đã chấm"),SUM('Làm nhanh'!K178),"")</x:f>
      </x:c>
      <x:c r="H77" s="50" t="str">
        <x:f>IF(AND('Làm nhanh'!P178="Đã chấm"),SUM('Làm nhanh'!N178),"")</x:f>
      </x:c>
      <x:c r="I77" s="51" t="str">
        <x:f>IF(COUNT(F77:G77)&lt;2,"",IF(OR(G77&lt;=0,F77&lt;0,F77&gt;G77),"Lỗi nhập",F77/G77))</x:f>
      </x:c>
      <x:c r="J77" s="49"/>
      <x:c r="K77" s="39"/>
      <x:c r="L77" s="40" t="str">
        <x:f>IF(NOT(OR(COUNT(F77:H77)&gt;0,LEN(F77&amp;G77&amp;H77)&gt;0)),"",IF(NOT(ISNUMBER(I77)),"Lỗi/thiếu số đúng-tổng",IF(OR(MOD(F77,1)&lt;&gt;0,MOD(G77,1)&lt;&gt;0),"Lỗi/thiếu số đúng-tổng",IF(OR(AND(B77&lt;&gt;"N4",B77&lt;&gt;"N3",B77&lt;&gt;"N2"),AND(C77&lt;&gt;"Từ và kanji",C77&lt;&gt;"Ngữ pháp",C77&lt;&gt;"Đọc",C77&lt;&gt;"Nghe")),"Sai cấp/kỹ năng",IF(OR(NOT(ISNUMBER(A77)),A77&lt;1),"Thiếu ngày đo",IF(D77="","Thiếu mã bài",IF(AND(E77&lt;&gt;"Mới",E77&lt;&gt;"Ôn lại"),"Thiếu loại câu",IF(OR(NOT(ISNUMBER(H77)),H77&lt;=0),"Thiếu phút",IF(AND(E77="Mới",COUNTIFS($B$8:$B$79,B77,$C$8:$C$79,C77,$D$8:$D$79,D77,$E$8:$E$79,"Mới",$G$8:$G$79,"&gt;0")&gt;1),"Trùng câu mới","Hợp lệ")))))))))</x:f>
      </x:c>
    </x:row>
    <x:row r="78" ht="25" customHeight="1">
      <x:c r="A78" s="48" t="str">
        <x:f>IF(AND('Làm nhanh'!P180="Đã chấm"),MAX('Làm nhanh'!M180),"")</x:f>
      </x:c>
      <x:c r="B78" s="40" t="str">
        <x:v>N3</x:v>
      </x:c>
      <x:c r="C78" s="40" t="str">
        <x:v>Đọc</x:v>
      </x:c>
      <x:c r="D78" s="49" t="str">
        <x:v>START18-N3-R</x:v>
      </x:c>
      <x:c r="E78" s="40" t="str">
        <x:f>IF(AND('Làm nhanh'!P180="Đã chấm"),IF(AND('Làm nhanh'!O180="Mới"),"Mới","Ôn lại"),"")</x:f>
      </x:c>
      <x:c r="F78" s="50" t="str">
        <x:f>IF(AND('Làm nhanh'!P180="Đã chấm"),SUM('Làm nhanh'!L180),"")</x:f>
      </x:c>
      <x:c r="G78" s="50" t="str">
        <x:f>IF(AND('Làm nhanh'!P180="Đã chấm"),SUM('Làm nhanh'!K180),"")</x:f>
      </x:c>
      <x:c r="H78" s="50" t="str">
        <x:f>IF(AND('Làm nhanh'!P180="Đã chấm"),SUM('Làm nhanh'!N180),"")</x:f>
      </x:c>
      <x:c r="I78" s="51" t="str">
        <x:f>IF(COUNT(F78:G78)&lt;2,"",IF(OR(G78&lt;=0,F78&lt;0,F78&gt;G78),"Lỗi nhập",F78/G78))</x:f>
      </x:c>
      <x:c r="J78" s="49"/>
      <x:c r="K78" s="39"/>
      <x:c r="L78" s="40" t="str">
        <x:f>IF(NOT(OR(COUNT(F78:H78)&gt;0,LEN(F78&amp;G78&amp;H78)&gt;0)),"",IF(NOT(ISNUMBER(I78)),"Lỗi/thiếu số đúng-tổng",IF(OR(MOD(F78,1)&lt;&gt;0,MOD(G78,1)&lt;&gt;0),"Lỗi/thiếu số đúng-tổng",IF(OR(AND(B78&lt;&gt;"N4",B78&lt;&gt;"N3",B78&lt;&gt;"N2"),AND(C78&lt;&gt;"Từ và kanji",C78&lt;&gt;"Ngữ pháp",C78&lt;&gt;"Đọc",C78&lt;&gt;"Nghe")),"Sai cấp/kỹ năng",IF(OR(NOT(ISNUMBER(A78)),A78&lt;1),"Thiếu ngày đo",IF(D78="","Thiếu mã bài",IF(AND(E78&lt;&gt;"Mới",E78&lt;&gt;"Ôn lại"),"Thiếu loại câu",IF(OR(NOT(ISNUMBER(H78)),H78&lt;=0),"Thiếu phút",IF(AND(E78="Mới",COUNTIFS($B$8:$B$79,B78,$C$8:$C$79,C78,$D$8:$D$79,D78,$E$8:$E$79,"Mới",$G$8:$G$79,"&gt;0")&gt;1),"Trùng câu mới","Hợp lệ")))))))))</x:f>
      </x:c>
    </x:row>
    <x:row r="79" ht="25" customHeight="1">
      <x:c r="A79" s="48" t="str">
        <x:f>IF(AND('Làm nhanh'!P181="Đã chấm",'Làm nhanh'!P182="Đã chấm"),MAX('Làm nhanh'!M181,'Làm nhanh'!M182),"")</x:f>
      </x:c>
      <x:c r="B79" s="40" t="str">
        <x:v>N3</x:v>
      </x:c>
      <x:c r="C79" s="40" t="str">
        <x:v>Nghe</x:v>
      </x:c>
      <x:c r="D79" s="49" t="str">
        <x:v>START18-N3-L</x:v>
      </x:c>
      <x:c r="E79" s="40" t="str">
        <x:f>IF(AND('Làm nhanh'!P181="Đã chấm",'Làm nhanh'!P182="Đã chấm"),IF(AND('Làm nhanh'!O181="Mới",'Làm nhanh'!O182="Mới"),"Mới","Ôn lại"),"")</x:f>
      </x:c>
      <x:c r="F79" s="50" t="str">
        <x:f>IF(AND('Làm nhanh'!P181="Đã chấm",'Làm nhanh'!P182="Đã chấm"),SUM('Làm nhanh'!L181,'Làm nhanh'!L182),"")</x:f>
      </x:c>
      <x:c r="G79" s="50" t="str">
        <x:f>IF(AND('Làm nhanh'!P181="Đã chấm",'Làm nhanh'!P182="Đã chấm"),SUM('Làm nhanh'!K181,'Làm nhanh'!K182),"")</x:f>
      </x:c>
      <x:c r="H79" s="50" t="str">
        <x:f>IF(AND('Làm nhanh'!P181="Đã chấm",'Làm nhanh'!P182="Đã chấm"),SUM('Làm nhanh'!N181,'Làm nhanh'!N182),"")</x:f>
      </x:c>
      <x:c r="I79" s="51" t="str">
        <x:f>IF(COUNT(F79:G79)&lt;2,"",IF(OR(G79&lt;=0,F79&lt;0,F79&gt;G79),"Lỗi nhập",F79/G79))</x:f>
      </x:c>
      <x:c r="J79" s="49"/>
      <x:c r="K79" s="39"/>
      <x:c r="L79" s="40" t="str">
        <x:f>IF(NOT(OR(COUNT(F79:H79)&gt;0,LEN(F79&amp;G79&amp;H79)&gt;0)),"",IF(NOT(ISNUMBER(I79)),"Lỗi/thiếu số đúng-tổng",IF(OR(MOD(F79,1)&lt;&gt;0,MOD(G79,1)&lt;&gt;0),"Lỗi/thiếu số đúng-tổng",IF(OR(AND(B79&lt;&gt;"N4",B79&lt;&gt;"N3",B79&lt;&gt;"N2"),AND(C79&lt;&gt;"Từ và kanji",C79&lt;&gt;"Ngữ pháp",C79&lt;&gt;"Đọc",C79&lt;&gt;"Nghe")),"Sai cấp/kỹ năng",IF(OR(NOT(ISNUMBER(A79)),A79&lt;1),"Thiếu ngày đo",IF(D79="","Thiếu mã bài",IF(AND(E79&lt;&gt;"Mới",E79&lt;&gt;"Ôn lại"),"Thiếu loại câu",IF(OR(NOT(ISNUMBER(H79)),H79&lt;=0),"Thiếu phút",IF(AND(E79="Mới",COUNTIFS($B$8:$B$79,B79,$C$8:$C$79,C79,$D$8:$D$79,D79,$E$8:$E$79,"Mới",$G$8:$G$79,"&gt;0")&gt;1),"Trùng câu mới","Hợp lệ")))))))))</x:f>
      </x:c>
    </x:row>
  </x:sheetData>
  <x:conditionalFormatting sqref="I8:I71">
    <x:cfRule type="expression" dxfId="1" priority="1">
      <x:formula>AND(ISNUMBER(I8),I8&lt;0.6)</x:formula>
    </x:cfRule>
    <x:cfRule type="expression" dxfId="2" priority="2">
      <x:formula>AND(ISNUMBER(I8),I8&gt;=0.6,I8&lt;0.8)</x:formula>
    </x:cfRule>
    <x:cfRule type="expression" dxfId="3" priority="3">
      <x:formula>AND(ISNUMBER(I8),I8&gt;=0.8)</x:formula>
    </x:cfRule>
    <x:cfRule type="containsText" dxfId="4" priority="4" operator="containsText" text="Lỗi nhập"/>
  </x:conditionalFormatting>
  <x:conditionalFormatting sqref="L8:L79">
    <x:cfRule type="expression" dxfId="7" priority="5">
      <x:formula>AND(L8&lt;&gt;"",L8&lt;&gt;"Hợp lệ")</x:formula>
    </x:cfRule>
  </x:conditionalFormatting>
  <x:dataValidations count="5">
    <x:dataValidation type="list" errorStyle="stop" allowBlank="1" showErrorMessage="1" errorTitle="Giá trị chưa hợp lệ" error="Nhập đúng phạm vi; 0 là bỏ câu, trống là chưa làm." sqref="B8:B71">
      <x:formula1>"N4,N3,N2"</x:formula1>
    </x:dataValidation>
    <x:dataValidation type="list" errorStyle="stop" allowBlank="1" showErrorMessage="1" errorTitle="Giá trị chưa hợp lệ" error="Nhập đúng phạm vi; 0 là bỏ câu, trống là chưa làm." sqref="C8:C71">
      <x:formula1>"Từ và kanji,Ngữ pháp,Đọc,Nghe"</x:formula1>
    </x:dataValidation>
    <x:dataValidation type="list" errorStyle="stop" allowBlank="1" showErrorMessage="1" errorTitle="Giá trị chưa hợp lệ" error="Nhập đúng phạm vi; 0 là bỏ câu, trống là chưa làm." sqref="E8:E71">
      <x:formula1>"Mới,Ôn lại"</x:formula1>
    </x:dataValidation>
    <x:dataValidation type="whole" errorStyle="stop" operator="between" allowBlank="1" showErrorMessage="1" errorTitle="Giá trị chưa hợp lệ" error="Nhập đúng phạm vi; 0 là bỏ câu, trống là chưa làm." sqref="F8:H71">
      <x:formula1>0</x:formula1>
      <x:formula2>1000</x:formula2>
    </x:dataValidation>
    <x:dataValidation type="list" errorStyle="stop" allowBlank="1" showErrorMessage="1" errorTitle="Giá trị chưa hợp lệ" error="Nhập đúng phạm vi; 0 là bỏ câu, trống là chưa làm." sqref="K8:K79">
      <x:formula1>"V,G,R,A,M,T,F"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4C62"/>
  </x:sheetPr>
  <x:sheetViews>
    <x:sheetView showGridLines="0" workbookViewId="0" tabSelected="0"/>
  </x:sheetViews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5" hidden="0" customWidth="1"/>
    <x:col min="5" max="5" width="18" hidden="0" customWidth="1"/>
    <x:col min="6" max="6" width="15" hidden="0" customWidth="1"/>
    <x:col min="7" max="7" width="27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</x:row>
    <x:row r="2" ht="25" customHeight="1">
      <x:c r="A2" s="10" t="str">
        <x:v>Tổng hợp học tiếng Nhật trong tuần</x:v>
      </x:c>
      <x:c r="B2" s="2"/>
      <x:c r="C2" s="2"/>
      <x:c r="D2" s="2"/>
      <x:c r="E2" s="2"/>
      <x:c r="F2" s="2"/>
      <x:c r="G2" s="2"/>
    </x:row>
    <x:row r="3" ht="9" customHeight="1">
      <x:c r="A3" s="2"/>
      <x:c r="B3" s="2"/>
      <x:c r="C3" s="2"/>
      <x:c r="D3" s="2"/>
      <x:c r="E3" s="2"/>
      <x:c r="F3" s="2"/>
      <x:c r="G3" s="2"/>
    </x:row>
    <x:row r="4" ht="25" customHeight="1">
      <x:c r="A4" s="2" t="str">
        <x:v>Tuần từ</x:v>
      </x:c>
      <x:c r="B4" s="52" t="n">
        <x:v>46310</x:v>
      </x:c>
      <x:c r="C4" s="2" t="str">
        <x:v>đến</x:v>
      </x:c>
      <x:c r="D4" s="53" t="n">
        <x:f>B4+6</x:f>
        <x:v>46316</x:v>
      </x:c>
      <x:c r="E4" s="12" t="str">
        <x:v>Đổi ngày ở B4 khi cần.</x:v>
      </x:c>
      <x:c r="F4" s="2"/>
      <x:c r="G4" s="2"/>
    </x:row>
    <x:row r="5" ht="9" customHeight="1">
      <x:c r="A5" s="2"/>
      <x:c r="B5" s="2"/>
      <x:c r="C5" s="2"/>
      <x:c r="D5" s="2"/>
      <x:c r="E5" s="2"/>
      <x:c r="F5" s="2"/>
      <x:c r="G5" s="2"/>
    </x:row>
    <x:row r="6" ht="34" customHeight="1">
      <x:c r="A6" s="36" t="str">
        <x:v>Chỉ số</x:v>
      </x:c>
      <x:c r="B6" s="37" t="str">
        <x:v>Kết quả</x:v>
      </x:c>
      <x:c r="C6" s="38" t="str">
        <x:v>Cỡ mẫu</x:v>
      </x:c>
      <x:c r="D6" s="2"/>
      <x:c r="E6" s="36" t="str">
        <x:v>Mã lỗi</x:v>
      </x:c>
      <x:c r="F6" s="37" t="str">
        <x:v>Bản ghi</x:v>
      </x:c>
      <x:c r="G6" s="38" t="str">
        <x:v>Ý nghĩa</x:v>
      </x:c>
    </x:row>
    <x:row r="7" ht="25" customHeight="1">
      <x:c r="A7" s="2" t="str">
        <x:v>Phút học</x:v>
      </x:c>
      <x:c r="B7" s="13" t="str">
        <x:f>IF(C7=0,"",SUMIFS('Nhật ký'!$E$8:$E$59,'Nhật ký'!$A$8:$A$59,"&gt;="&amp;$B$4,'Nhật ký'!$A$8:$A$59,"&lt;"&amp;($B$4+7),'Nhật ký'!$O$8:$O$59,1))</x:f>
      </x:c>
      <x:c r="C7" s="13" t="n">
        <x:f>SUMIFS('Nhật ký'!$O$8:$O$59,'Nhật ký'!$A$8:$A$59,"&gt;="&amp;$B$4,'Nhật ký'!$A$8:$A$59,"&lt;"&amp;($B$4+7))</x:f>
        <x:v>0</x:v>
      </x:c>
      <x:c r="D7" s="2"/>
      <x:c r="E7" s="2" t="str">
        <x:v>V</x:v>
      </x:c>
      <x:c r="F7" s="13" t="n">
        <x:f>COUNTIFS('Nhật ký'!$A$8:$A$59,"&gt;="&amp;$B$4,'Nhật ký'!$A$8:$A$59,"&lt;"&amp;($B$4+7),'Nhật ký'!$I$8:$I$59,E7)+COUNTIFS('Làm nhanh'!$M$172:$M$182,"&gt;="&amp;$B$4,'Làm nhanh'!$M$172:$M$182,"&lt;"&amp;($B$4+7),'Làm nhanh'!$Q$172:$Q$182,E7,'Làm nhanh'!$P$172:$P$182,"Đã chấm")</x:f>
        <x:v>0</x:v>
      </x:c>
      <x:c r="G7" s="2" t="str">
        <x:v>Từ/kanji</x:v>
      </x:c>
    </x:row>
    <x:row r="8" ht="25" customHeight="1">
      <x:c r="A8" s="2" t="str">
        <x:v>Phút nghe</x:v>
      </x:c>
      <x:c r="B8" s="13" t="str">
        <x:f>IF(C8=0,"",SUMIFS('Nhật ký'!$F$8:$F$59,'Nhật ký'!$A$8:$A$59,"&gt;="&amp;$B$4,'Nhật ký'!$A$8:$A$59,"&lt;"&amp;($B$4+7),'Nhật ký'!$M$8:$M$59,1))</x:f>
      </x:c>
      <x:c r="C8" s="13" t="n">
        <x:f>SUMIFS('Nhật ký'!$M$8:$M$59,'Nhật ký'!$A$8:$A$59,"&gt;="&amp;$B$4,'Nhật ký'!$A$8:$A$59,"&lt;"&amp;($B$4+7))</x:f>
        <x:v>0</x:v>
      </x:c>
      <x:c r="D8" s="2"/>
      <x:c r="E8" s="2" t="str">
        <x:v>G</x:v>
      </x:c>
      <x:c r="F8" s="13" t="n">
        <x:f>COUNTIFS('Nhật ký'!$A$8:$A$59,"&gt;="&amp;$B$4,'Nhật ký'!$A$8:$A$59,"&lt;"&amp;($B$4+7),'Nhật ký'!$I$8:$I$59,E8)+COUNTIFS('Làm nhanh'!$M$172:$M$182,"&gt;="&amp;$B$4,'Làm nhanh'!$M$172:$M$182,"&lt;"&amp;($B$4+7),'Làm nhanh'!$Q$172:$Q$182,E8,'Làm nhanh'!$P$172:$P$182,"Đã chấm")</x:f>
        <x:v>0</x:v>
      </x:c>
      <x:c r="G8" s="2" t="str">
        <x:v>Ngữ pháp</x:v>
      </x:c>
    </x:row>
    <x:row r="9" ht="25" customHeight="1">
      <x:c r="A9" s="2" t="str">
        <x:v>Phút nói</x:v>
      </x:c>
      <x:c r="B9" s="13" t="str">
        <x:f>IF(C9=0,"",SUMIFS('Nhật ký'!$G$8:$G$59,'Nhật ký'!$A$8:$A$59,"&gt;="&amp;$B$4,'Nhật ký'!$A$8:$A$59,"&lt;"&amp;($B$4+7),'Nhật ký'!$N$8:$N$59,1))</x:f>
      </x:c>
      <x:c r="C9" s="13" t="n">
        <x:f>SUMIFS('Nhật ký'!$N$8:$N$59,'Nhật ký'!$A$8:$A$59,"&gt;="&amp;$B$4,'Nhật ký'!$A$8:$A$59,"&lt;"&amp;($B$4+7))</x:f>
        <x:v>0</x:v>
      </x:c>
      <x:c r="D9" s="2"/>
      <x:c r="E9" s="2" t="str">
        <x:v>R</x:v>
      </x:c>
      <x:c r="F9" s="13" t="n">
        <x:f>COUNTIFS('Nhật ký'!$A$8:$A$59,"&gt;="&amp;$B$4,'Nhật ký'!$A$8:$A$59,"&lt;"&amp;($B$4+7),'Nhật ký'!$I$8:$I$59,E9)+COUNTIFS('Làm nhanh'!$M$172:$M$182,"&gt;="&amp;$B$4,'Làm nhanh'!$M$172:$M$182,"&lt;"&amp;($B$4+7),'Làm nhanh'!$Q$172:$Q$182,E9,'Làm nhanh'!$P$172:$P$182,"Đã chấm")</x:f>
        <x:v>0</x:v>
      </x:c>
      <x:c r="G9" s="2" t="str">
        <x:v>Nối ý đọc</x:v>
      </x:c>
    </x:row>
    <x:row r="10" ht="25" customHeight="1">
      <x:c r="A10" s="2" t="str">
        <x:v>Ngủ TB (giờ/24h)</x:v>
      </x:c>
      <x:c r="B10" s="54" t="str">
        <x:f>IF(C10=0,"",SUMIFS('Nhật ký'!$B$8:$B$59,'Nhật ký'!$A$8:$A$59,"&gt;="&amp;$B$4,'Nhật ký'!$A$8:$A$59,"&lt;"&amp;($B$4+7),'Nhật ký'!$K$8:$K$59,1)/C10)</x:f>
      </x:c>
      <x:c r="C10" s="13" t="n">
        <x:f>SUMIFS('Nhật ký'!$K$8:$K$59,'Nhật ký'!$A$8:$A$59,"&gt;="&amp;$B$4,'Nhật ký'!$A$8:$A$59,"&lt;"&amp;($B$4+7))</x:f>
        <x:v>0</x:v>
      </x:c>
      <x:c r="D10" s="2"/>
      <x:c r="E10" s="2" t="str">
        <x:v>A</x:v>
      </x:c>
      <x:c r="F10" s="13" t="n">
        <x:f>COUNTIFS('Nhật ký'!$A$8:$A$59,"&gt;="&amp;$B$4,'Nhật ký'!$A$8:$A$59,"&lt;"&amp;($B$4+7),'Nhật ký'!$I$8:$I$59,E10)+COUNTIFS('Làm nhanh'!$M$172:$M$182,"&gt;="&amp;$B$4,'Làm nhanh'!$M$172:$M$182,"&lt;"&amp;($B$4+7),'Làm nhanh'!$Q$172:$Q$182,E10,'Làm nhanh'!$P$172:$P$182,"Đã chấm")</x:f>
        <x:v>0</x:v>
      </x:c>
      <x:c r="G10" s="2" t="str">
        <x:v>Nhận diện âm</x:v>
      </x:c>
    </x:row>
    <x:row r="11" ht="25" customHeight="1">
      <x:c r="A11" s="2" t="str">
        <x:v>Mệt TB (1–5)</x:v>
      </x:c>
      <x:c r="B11" s="54" t="str">
        <x:f>IF(C11=0,"",SUMIFS('Nhật ký'!$C$8:$C$59,'Nhật ký'!$A$8:$A$59,"&gt;="&amp;$B$4,'Nhật ký'!$A$8:$A$59,"&lt;"&amp;($B$4+7),'Nhật ký'!$L$8:$L$59,1)/C11)</x:f>
      </x:c>
      <x:c r="C11" s="13" t="n">
        <x:f>SUMIFS('Nhật ký'!$L$8:$L$59,'Nhật ký'!$A$8:$A$59,"&gt;="&amp;$B$4,'Nhật ký'!$A$8:$A$59,"&lt;"&amp;($B$4+7))</x:f>
        <x:v>0</x:v>
      </x:c>
      <x:c r="D11" s="2"/>
      <x:c r="E11" s="2" t="str">
        <x:v>M</x:v>
      </x:c>
      <x:c r="F11" s="13" t="n">
        <x:f>COUNTIFS('Nhật ký'!$A$8:$A$59,"&gt;="&amp;$B$4,'Nhật ký'!$A$8:$A$59,"&lt;"&amp;($B$4+7),'Nhật ký'!$I$8:$I$59,E11)+COUNTIFS('Làm nhanh'!$M$172:$M$182,"&gt;="&amp;$B$4,'Làm nhanh'!$M$172:$M$182,"&lt;"&amp;($B$4+7),'Làm nhanh'!$Q$172:$Q$182,E11,'Làm nhanh'!$P$172:$P$182,"Đã chấm")</x:f>
        <x:v>0</x:v>
      </x:c>
      <x:c r="G11" s="2" t="str">
        <x:v>Giữ thông tin</x:v>
      </x:c>
    </x:row>
    <x:row r="12" ht="25" customHeight="1">
      <x:c r="A12" s="2" t="str">
        <x:v>Nhật ký cần sửa</x:v>
      </x:c>
      <x:c r="B12" s="13" t="n">
        <x:f>SUM(COUNTIFS('Nhật ký'!$A$8:$A$59,"&gt;="&amp;$B$4,'Nhật ký'!$A$8:$A$59,"&lt;"&amp;($B$4+7),'Nhật ký'!$J$8:$J$59,"Lỗi ngủ/mệt"),COUNTIFS('Nhật ký'!$A$8:$A$59,"&gt;="&amp;$B$4,'Nhật ký'!$A$8:$A$59,"&lt;"&amp;($B$4+7),'Nhật ký'!$J$8:$J$59,"Thiếu tổng phút"),COUNTIFS('Nhật ký'!$A$8:$A$59,"&gt;="&amp;$B$4,'Nhật ký'!$A$8:$A$59,"&lt;"&amp;($B$4+7),'Nhật ký'!$J$8:$J$59,"Lỗi phút"),COUNTIFS('Nhật ký'!$A$8:$A$59,"&gt;="&amp;$B$4,'Nhật ký'!$A$8:$A$59,"&lt;"&amp;($B$4+7),'Nhật ký'!$J$8:$J$59,"Nghe+nói vượt tổng"),COUNTIFS('Nhật ký'!$A$8:$A$59,"&gt;="&amp;$B$4,'Nhật ký'!$A$8:$A$59,"&lt;"&amp;($B$4+7),'Nhật ký'!$J$8:$J$59,"Thiếu chế độ"),COUNTIFS('Nhật ký'!$A$8:$A$59,"&gt;="&amp;$B$4,'Nhật ký'!$A$8:$A$59,"&lt;"&amp;($B$4+7),'Nhật ký'!$J$8:$J$59,"Lỗi mã"))</x:f>
        <x:v>0</x:v>
      </x:c>
      <x:c r="C12" s="13"/>
      <x:c r="D12" s="2"/>
      <x:c r="E12" s="2" t="str">
        <x:v>T</x:v>
      </x:c>
      <x:c r="F12" s="13" t="n">
        <x:f>COUNTIFS('Nhật ký'!$A$8:$A$59,"&gt;="&amp;$B$4,'Nhật ký'!$A$8:$A$59,"&lt;"&amp;($B$4+7),'Nhật ký'!$I$8:$I$59,E12)+COUNTIFS('Làm nhanh'!$M$172:$M$182,"&gt;="&amp;$B$4,'Làm nhanh'!$M$172:$M$182,"&lt;"&amp;($B$4+7),'Làm nhanh'!$Q$172:$Q$182,E12,'Làm nhanh'!$P$172:$P$182,"Đã chấm")</x:f>
        <x:v>0</x:v>
      </x:c>
      <x:c r="G12" s="2" t="str">
        <x:v>Thời gian</x:v>
      </x:c>
    </x:row>
    <x:row r="13" ht="25" customHeight="1">
      <x:c r="A13" s="2" t="str">
        <x:v>Bản đo cần sửa</x:v>
      </x:c>
      <x:c r="B13" s="13" t="n">
        <x:f>SUM(COUNTIF('Đo năng lực'!$L$8:$L$79,"Lỗi/thiếu số đúng-tổng"),COUNTIF('Đo năng lực'!$L$8:$L$79,"Sai cấp/kỹ năng"),COUNTIF('Đo năng lực'!$L$8:$L$79,"Thiếu ngày đo"),COUNTIF('Đo năng lực'!$L$8:$L$79,"Thiếu mã bài"),COUNTIF('Đo năng lực'!$L$8:$L$79,"Thiếu loại câu"),COUNTIF('Đo năng lực'!$L$8:$L$79,"Thiếu phút"),COUNTIF('Đo năng lực'!$L$8:$L$79,"Trùng câu mới"))</x:f>
        <x:v>0</x:v>
      </x:c>
      <x:c r="C13" s="13" t="str">
        <x:v>toàn sổ</x:v>
      </x:c>
      <x:c r="D13" s="2"/>
      <x:c r="E13" s="2" t="str">
        <x:v>F</x:v>
      </x:c>
      <x:c r="F13" s="13" t="n">
        <x:f>COUNTIFS('Nhật ký'!$A$8:$A$59,"&gt;="&amp;$B$4,'Nhật ký'!$A$8:$A$59,"&lt;"&amp;($B$4+7),'Nhật ký'!$I$8:$I$59,E13)+COUNTIFS('Làm nhanh'!$M$172:$M$182,"&gt;="&amp;$B$4,'Làm nhanh'!$M$172:$M$182,"&lt;"&amp;($B$4+7),'Làm nhanh'!$Q$172:$Q$182,E13,'Làm nhanh'!$P$172:$P$182,"Đã chấm")</x:f>
        <x:v>0</x:v>
      </x:c>
      <x:c r="G13" s="2" t="str">
        <x:v>Mệt/gián đoạn</x:v>
      </x:c>
    </x:row>
    <x:row r="14" ht="9" customHeight="1">
      <x:c r="A14" s="2"/>
      <x:c r="B14" s="2"/>
      <x:c r="C14" s="2"/>
      <x:c r="D14" s="2"/>
      <x:c r="E14" s="2"/>
      <x:c r="F14" s="2"/>
      <x:c r="G14" s="2"/>
    </x:row>
    <x:row r="15" ht="25" customHeight="1">
      <x:c r="A15" s="12" t="str">
        <x:v>Câu Mới trong tuần, có ngày/phút/mã bài hợp lệ. Mỗi cấp và kỹ năng giữ riêng.</x:v>
      </x:c>
      <x:c r="B15" s="2"/>
      <x:c r="C15" s="2"/>
      <x:c r="D15" s="2"/>
      <x:c r="E15" s="2"/>
      <x:c r="F15" s="2"/>
      <x:c r="G15" s="2"/>
    </x:row>
    <x:row r="16" ht="9" customHeight="1">
      <x:c r="A16" s="2"/>
      <x:c r="B16" s="2"/>
      <x:c r="C16" s="2"/>
      <x:c r="D16" s="2"/>
      <x:c r="E16" s="2"/>
      <x:c r="F16" s="2"/>
      <x:c r="G16" s="2"/>
    </x:row>
    <x:row r="17" ht="34" customHeight="1">
      <x:c r="A17" s="36" t="str">
        <x:v>Cấp</x:v>
      </x:c>
      <x:c r="B17" s="37" t="str">
        <x:v>Kỹ năng</x:v>
      </x:c>
      <x:c r="C17" s="37" t="str">
        <x:v>Đúng</x:v>
      </x:c>
      <x:c r="D17" s="37" t="str">
        <x:v>Tổng câu</x:v>
      </x:c>
      <x:c r="E17" s="37" t="str">
        <x:v>Độ đúng thô</x:v>
      </x:c>
      <x:c r="F17" s="37" t="str">
        <x:v>Phút làm</x:v>
      </x:c>
      <x:c r="G17" s="38" t="str">
        <x:v>Cỡ mẫu</x:v>
      </x:c>
    </x:row>
    <x:row r="18" ht="25" customHeight="1">
      <x:c r="A18" s="2" t="str">
        <x:v>N4</x:v>
      </x:c>
      <x:c r="B18" s="2" t="str">
        <x:v>Từ và kanji</x:v>
      </x:c>
      <x:c r="C18" s="2" t="str">
        <x:f>IF(COUNTIFS('Đo năng lực'!$A$8:$A$79,"&gt;="&amp;$B$4,'Đo năng lực'!$A$8:$A$79,"&lt;"&amp;($B$4+7),'Đo năng lực'!$B$8:$B$79,A18,'Đo năng lực'!$C$8:$C$79,B18,'Đo năng lực'!$E$8:$E$79,"Mới",'Đo năng lực'!$L$8:$L$79,"Hợp lệ")=0,"",SUMIFS('Đo năng lực'!$F$8:$F$79,'Đo năng lực'!$A$8:$A$79,"&gt;="&amp;$B$4,'Đo năng lực'!$A$8:$A$79,"&lt;"&amp;($B$4+7),'Đo năng lực'!$B$8:$B$79,A18,'Đo năng lực'!$C$8:$C$79,B18,'Đo năng lực'!$E$8:$E$79,"Mới",'Đo năng lực'!$L$8:$L$79,"Hợp lệ"))</x:f>
      </x:c>
      <x:c r="D18" s="2" t="str">
        <x:f>IF(COUNTIFS('Đo năng lực'!$A$8:$A$79,"&gt;="&amp;$B$4,'Đo năng lực'!$A$8:$A$79,"&lt;"&amp;($B$4+7),'Đo năng lực'!$B$8:$B$79,A18,'Đo năng lực'!$C$8:$C$79,B18,'Đo năng lực'!$E$8:$E$79,"Mới",'Đo năng lực'!$L$8:$L$79,"Hợp lệ")=0,"",SUMIFS('Đo năng lực'!$G$8:$G$79,'Đo năng lực'!$A$8:$A$79,"&gt;="&amp;$B$4,'Đo năng lực'!$A$8:$A$79,"&lt;"&amp;($B$4+7),'Đo năng lực'!$B$8:$B$79,A18,'Đo năng lực'!$C$8:$C$79,B18,'Đo năng lực'!$E$8:$E$79,"Mới",'Đo năng lực'!$L$8:$L$79,"Hợp lệ"))</x:f>
      </x:c>
      <x:c r="E18" s="27" t="str">
        <x:f>IF(COUNT(C18:D18)&lt;2,"",IF(D18&gt;0,C18/D18,""))</x:f>
      </x:c>
      <x:c r="F18" s="2" t="str">
        <x:f>IF(COUNTIFS('Đo năng lực'!$A$8:$A$79,"&gt;="&amp;$B$4,'Đo năng lực'!$A$8:$A$79,"&lt;"&amp;($B$4+7),'Đo năng lực'!$B$8:$B$79,A18,'Đo năng lực'!$C$8:$C$79,B18,'Đo năng lực'!$E$8:$E$79,"Mới",'Đo năng lực'!$L$8:$L$79,"Hợp lệ")=0,"",SUMIFS('Đo năng lực'!$H$8:$H$79,'Đo năng lực'!$A$8:$A$79,"&gt;="&amp;$B$4,'Đo năng lực'!$A$8:$A$79,"&lt;"&amp;($B$4+7),'Đo năng lực'!$B$8:$B$79,A18,'Đo năng lực'!$C$8:$C$79,B18,'Đo năng lực'!$E$8:$E$79,"Mới",'Đo năng lực'!$L$8:$L$79,"Hợp lệ"))</x:f>
      </x:c>
      <x:c r="G18" s="2" t="str">
        <x:f>IF(COUNT(D18)=0,"Chưa đo",IF(D18&lt;10,"Mẫu nhỏ","Có "&amp;D18&amp;" câu"))</x:f>
        <x:v>Chưa đo</x:v>
      </x:c>
    </x:row>
    <x:row r="19" ht="25" customHeight="1">
      <x:c r="A19" s="2" t="str">
        <x:v>N4</x:v>
      </x:c>
      <x:c r="B19" s="2" t="str">
        <x:v>Ngữ pháp</x:v>
      </x:c>
      <x:c r="C19" s="2" t="str">
        <x:f>IF(COUNTIFS('Đo năng lực'!$A$8:$A$79,"&gt;="&amp;$B$4,'Đo năng lực'!$A$8:$A$79,"&lt;"&amp;($B$4+7),'Đo năng lực'!$B$8:$B$79,A19,'Đo năng lực'!$C$8:$C$79,B19,'Đo năng lực'!$E$8:$E$79,"Mới",'Đo năng lực'!$L$8:$L$79,"Hợp lệ")=0,"",SUMIFS('Đo năng lực'!$F$8:$F$79,'Đo năng lực'!$A$8:$A$79,"&gt;="&amp;$B$4,'Đo năng lực'!$A$8:$A$79,"&lt;"&amp;($B$4+7),'Đo năng lực'!$B$8:$B$79,A19,'Đo năng lực'!$C$8:$C$79,B19,'Đo năng lực'!$E$8:$E$79,"Mới",'Đo năng lực'!$L$8:$L$79,"Hợp lệ"))</x:f>
      </x:c>
      <x:c r="D19" s="2" t="str">
        <x:f>IF(COUNTIFS('Đo năng lực'!$A$8:$A$79,"&gt;="&amp;$B$4,'Đo năng lực'!$A$8:$A$79,"&lt;"&amp;($B$4+7),'Đo năng lực'!$B$8:$B$79,A19,'Đo năng lực'!$C$8:$C$79,B19,'Đo năng lực'!$E$8:$E$79,"Mới",'Đo năng lực'!$L$8:$L$79,"Hợp lệ")=0,"",SUMIFS('Đo năng lực'!$G$8:$G$79,'Đo năng lực'!$A$8:$A$79,"&gt;="&amp;$B$4,'Đo năng lực'!$A$8:$A$79,"&lt;"&amp;($B$4+7),'Đo năng lực'!$B$8:$B$79,A19,'Đo năng lực'!$C$8:$C$79,B19,'Đo năng lực'!$E$8:$E$79,"Mới",'Đo năng lực'!$L$8:$L$79,"Hợp lệ"))</x:f>
      </x:c>
      <x:c r="E19" s="27" t="str">
        <x:f>IF(COUNT(C19:D19)&lt;2,"",IF(D19&gt;0,C19/D19,""))</x:f>
      </x:c>
      <x:c r="F19" s="2" t="str">
        <x:f>IF(COUNTIFS('Đo năng lực'!$A$8:$A$79,"&gt;="&amp;$B$4,'Đo năng lực'!$A$8:$A$79,"&lt;"&amp;($B$4+7),'Đo năng lực'!$B$8:$B$79,A19,'Đo năng lực'!$C$8:$C$79,B19,'Đo năng lực'!$E$8:$E$79,"Mới",'Đo năng lực'!$L$8:$L$79,"Hợp lệ")=0,"",SUMIFS('Đo năng lực'!$H$8:$H$79,'Đo năng lực'!$A$8:$A$79,"&gt;="&amp;$B$4,'Đo năng lực'!$A$8:$A$79,"&lt;"&amp;($B$4+7),'Đo năng lực'!$B$8:$B$79,A19,'Đo năng lực'!$C$8:$C$79,B19,'Đo năng lực'!$E$8:$E$79,"Mới",'Đo năng lực'!$L$8:$L$79,"Hợp lệ"))</x:f>
      </x:c>
      <x:c r="G19" s="2" t="str">
        <x:f>IF(COUNT(D19)=0,"Chưa đo",IF(D19&lt;10,"Mẫu nhỏ","Có "&amp;D19&amp;" câu"))</x:f>
        <x:v>Chưa đo</x:v>
      </x:c>
    </x:row>
    <x:row r="20" ht="25" customHeight="1">
      <x:c r="A20" s="2" t="str">
        <x:v>N4</x:v>
      </x:c>
      <x:c r="B20" s="2" t="str">
        <x:v>Đọc</x:v>
      </x:c>
      <x:c r="C20" s="2" t="str">
        <x:f>IF(COUNTIFS('Đo năng lực'!$A$8:$A$79,"&gt;="&amp;$B$4,'Đo năng lực'!$A$8:$A$79,"&lt;"&amp;($B$4+7),'Đo năng lực'!$B$8:$B$79,A20,'Đo năng lực'!$C$8:$C$79,B20,'Đo năng lực'!$E$8:$E$79,"Mới",'Đo năng lực'!$L$8:$L$79,"Hợp lệ")=0,"",SUMIFS('Đo năng lực'!$F$8:$F$79,'Đo năng lực'!$A$8:$A$79,"&gt;="&amp;$B$4,'Đo năng lực'!$A$8:$A$79,"&lt;"&amp;($B$4+7),'Đo năng lực'!$B$8:$B$79,A20,'Đo năng lực'!$C$8:$C$79,B20,'Đo năng lực'!$E$8:$E$79,"Mới",'Đo năng lực'!$L$8:$L$79,"Hợp lệ"))</x:f>
      </x:c>
      <x:c r="D20" s="2" t="str">
        <x:f>IF(COUNTIFS('Đo năng lực'!$A$8:$A$79,"&gt;="&amp;$B$4,'Đo năng lực'!$A$8:$A$79,"&lt;"&amp;($B$4+7),'Đo năng lực'!$B$8:$B$79,A20,'Đo năng lực'!$C$8:$C$79,B20,'Đo năng lực'!$E$8:$E$79,"Mới",'Đo năng lực'!$L$8:$L$79,"Hợp lệ")=0,"",SUMIFS('Đo năng lực'!$G$8:$G$79,'Đo năng lực'!$A$8:$A$79,"&gt;="&amp;$B$4,'Đo năng lực'!$A$8:$A$79,"&lt;"&amp;($B$4+7),'Đo năng lực'!$B$8:$B$79,A20,'Đo năng lực'!$C$8:$C$79,B20,'Đo năng lực'!$E$8:$E$79,"Mới",'Đo năng lực'!$L$8:$L$79,"Hợp lệ"))</x:f>
      </x:c>
      <x:c r="E20" s="27" t="str">
        <x:f>IF(COUNT(C20:D20)&lt;2,"",IF(D20&gt;0,C20/D20,""))</x:f>
      </x:c>
      <x:c r="F20" s="2" t="str">
        <x:f>IF(COUNTIFS('Đo năng lực'!$A$8:$A$79,"&gt;="&amp;$B$4,'Đo năng lực'!$A$8:$A$79,"&lt;"&amp;($B$4+7),'Đo năng lực'!$B$8:$B$79,A20,'Đo năng lực'!$C$8:$C$79,B20,'Đo năng lực'!$E$8:$E$79,"Mới",'Đo năng lực'!$L$8:$L$79,"Hợp lệ")=0,"",SUMIFS('Đo năng lực'!$H$8:$H$79,'Đo năng lực'!$A$8:$A$79,"&gt;="&amp;$B$4,'Đo năng lực'!$A$8:$A$79,"&lt;"&amp;($B$4+7),'Đo năng lực'!$B$8:$B$79,A20,'Đo năng lực'!$C$8:$C$79,B20,'Đo năng lực'!$E$8:$E$79,"Mới",'Đo năng lực'!$L$8:$L$79,"Hợp lệ"))</x:f>
      </x:c>
      <x:c r="G20" s="2" t="str">
        <x:f>IF(COUNT(D20)=0,"Chưa đo",IF(D20&lt;10,"Mẫu nhỏ","Có "&amp;D20&amp;" câu"))</x:f>
        <x:v>Chưa đo</x:v>
      </x:c>
    </x:row>
    <x:row r="21" ht="25" customHeight="1">
      <x:c r="A21" s="2" t="str">
        <x:v>N4</x:v>
      </x:c>
      <x:c r="B21" s="2" t="str">
        <x:v>Nghe</x:v>
      </x:c>
      <x:c r="C21" s="2" t="str">
        <x:f>IF(COUNTIFS('Đo năng lực'!$A$8:$A$79,"&gt;="&amp;$B$4,'Đo năng lực'!$A$8:$A$79,"&lt;"&amp;($B$4+7),'Đo năng lực'!$B$8:$B$79,A21,'Đo năng lực'!$C$8:$C$79,B21,'Đo năng lực'!$E$8:$E$79,"Mới",'Đo năng lực'!$L$8:$L$79,"Hợp lệ")=0,"",SUMIFS('Đo năng lực'!$F$8:$F$79,'Đo năng lực'!$A$8:$A$79,"&gt;="&amp;$B$4,'Đo năng lực'!$A$8:$A$79,"&lt;"&amp;($B$4+7),'Đo năng lực'!$B$8:$B$79,A21,'Đo năng lực'!$C$8:$C$79,B21,'Đo năng lực'!$E$8:$E$79,"Mới",'Đo năng lực'!$L$8:$L$79,"Hợp lệ"))</x:f>
      </x:c>
      <x:c r="D21" s="2" t="str">
        <x:f>IF(COUNTIFS('Đo năng lực'!$A$8:$A$79,"&gt;="&amp;$B$4,'Đo năng lực'!$A$8:$A$79,"&lt;"&amp;($B$4+7),'Đo năng lực'!$B$8:$B$79,A21,'Đo năng lực'!$C$8:$C$79,B21,'Đo năng lực'!$E$8:$E$79,"Mới",'Đo năng lực'!$L$8:$L$79,"Hợp lệ")=0,"",SUMIFS('Đo năng lực'!$G$8:$G$79,'Đo năng lực'!$A$8:$A$79,"&gt;="&amp;$B$4,'Đo năng lực'!$A$8:$A$79,"&lt;"&amp;($B$4+7),'Đo năng lực'!$B$8:$B$79,A21,'Đo năng lực'!$C$8:$C$79,B21,'Đo năng lực'!$E$8:$E$79,"Mới",'Đo năng lực'!$L$8:$L$79,"Hợp lệ"))</x:f>
      </x:c>
      <x:c r="E21" s="27" t="str">
        <x:f>IF(COUNT(C21:D21)&lt;2,"",IF(D21&gt;0,C21/D21,""))</x:f>
      </x:c>
      <x:c r="F21" s="2" t="str">
        <x:f>IF(COUNTIFS('Đo năng lực'!$A$8:$A$79,"&gt;="&amp;$B$4,'Đo năng lực'!$A$8:$A$79,"&lt;"&amp;($B$4+7),'Đo năng lực'!$B$8:$B$79,A21,'Đo năng lực'!$C$8:$C$79,B21,'Đo năng lực'!$E$8:$E$79,"Mới",'Đo năng lực'!$L$8:$L$79,"Hợp lệ")=0,"",SUMIFS('Đo năng lực'!$H$8:$H$79,'Đo năng lực'!$A$8:$A$79,"&gt;="&amp;$B$4,'Đo năng lực'!$A$8:$A$79,"&lt;"&amp;($B$4+7),'Đo năng lực'!$B$8:$B$79,A21,'Đo năng lực'!$C$8:$C$79,B21,'Đo năng lực'!$E$8:$E$79,"Mới",'Đo năng lực'!$L$8:$L$79,"Hợp lệ"))</x:f>
      </x:c>
      <x:c r="G21" s="2" t="str">
        <x:f>IF(COUNT(D21)=0,"Chưa đo",IF(D21&lt;10,"Mẫu nhỏ","Có "&amp;D21&amp;" câu"))</x:f>
        <x:v>Chưa đo</x:v>
      </x:c>
    </x:row>
    <x:row r="22" ht="25" customHeight="1">
      <x:c r="A22" s="2" t="str">
        <x:v>N3</x:v>
      </x:c>
      <x:c r="B22" s="2" t="str">
        <x:v>Từ và kanji</x:v>
      </x:c>
      <x:c r="C22" s="2" t="str">
        <x:f>IF(COUNTIFS('Đo năng lực'!$A$8:$A$79,"&gt;="&amp;$B$4,'Đo năng lực'!$A$8:$A$79,"&lt;"&amp;($B$4+7),'Đo năng lực'!$B$8:$B$79,A22,'Đo năng lực'!$C$8:$C$79,B22,'Đo năng lực'!$E$8:$E$79,"Mới",'Đo năng lực'!$L$8:$L$79,"Hợp lệ")=0,"",SUMIFS('Đo năng lực'!$F$8:$F$79,'Đo năng lực'!$A$8:$A$79,"&gt;="&amp;$B$4,'Đo năng lực'!$A$8:$A$79,"&lt;"&amp;($B$4+7),'Đo năng lực'!$B$8:$B$79,A22,'Đo năng lực'!$C$8:$C$79,B22,'Đo năng lực'!$E$8:$E$79,"Mới",'Đo năng lực'!$L$8:$L$79,"Hợp lệ"))</x:f>
      </x:c>
      <x:c r="D22" s="2" t="str">
        <x:f>IF(COUNTIFS('Đo năng lực'!$A$8:$A$79,"&gt;="&amp;$B$4,'Đo năng lực'!$A$8:$A$79,"&lt;"&amp;($B$4+7),'Đo năng lực'!$B$8:$B$79,A22,'Đo năng lực'!$C$8:$C$79,B22,'Đo năng lực'!$E$8:$E$79,"Mới",'Đo năng lực'!$L$8:$L$79,"Hợp lệ")=0,"",SUMIFS('Đo năng lực'!$G$8:$G$79,'Đo năng lực'!$A$8:$A$79,"&gt;="&amp;$B$4,'Đo năng lực'!$A$8:$A$79,"&lt;"&amp;($B$4+7),'Đo năng lực'!$B$8:$B$79,A22,'Đo năng lực'!$C$8:$C$79,B22,'Đo năng lực'!$E$8:$E$79,"Mới",'Đo năng lực'!$L$8:$L$79,"Hợp lệ"))</x:f>
      </x:c>
      <x:c r="E22" s="27" t="str">
        <x:f>IF(COUNT(C22:D22)&lt;2,"",IF(D22&gt;0,C22/D22,""))</x:f>
      </x:c>
      <x:c r="F22" s="2" t="str">
        <x:f>IF(COUNTIFS('Đo năng lực'!$A$8:$A$79,"&gt;="&amp;$B$4,'Đo năng lực'!$A$8:$A$79,"&lt;"&amp;($B$4+7),'Đo năng lực'!$B$8:$B$79,A22,'Đo năng lực'!$C$8:$C$79,B22,'Đo năng lực'!$E$8:$E$79,"Mới",'Đo năng lực'!$L$8:$L$79,"Hợp lệ")=0,"",SUMIFS('Đo năng lực'!$H$8:$H$79,'Đo năng lực'!$A$8:$A$79,"&gt;="&amp;$B$4,'Đo năng lực'!$A$8:$A$79,"&lt;"&amp;($B$4+7),'Đo năng lực'!$B$8:$B$79,A22,'Đo năng lực'!$C$8:$C$79,B22,'Đo năng lực'!$E$8:$E$79,"Mới",'Đo năng lực'!$L$8:$L$79,"Hợp lệ"))</x:f>
      </x:c>
      <x:c r="G22" s="2" t="str">
        <x:f>IF(COUNT(D22)=0,"Chưa đo",IF(D22&lt;10,"Mẫu nhỏ","Có "&amp;D22&amp;" câu"))</x:f>
        <x:v>Chưa đo</x:v>
      </x:c>
    </x:row>
    <x:row r="23" ht="25" customHeight="1">
      <x:c r="A23" s="2" t="str">
        <x:v>N3</x:v>
      </x:c>
      <x:c r="B23" s="2" t="str">
        <x:v>Ngữ pháp</x:v>
      </x:c>
      <x:c r="C23" s="2" t="str">
        <x:f>IF(COUNTIFS('Đo năng lực'!$A$8:$A$79,"&gt;="&amp;$B$4,'Đo năng lực'!$A$8:$A$79,"&lt;"&amp;($B$4+7),'Đo năng lực'!$B$8:$B$79,A23,'Đo năng lực'!$C$8:$C$79,B23,'Đo năng lực'!$E$8:$E$79,"Mới",'Đo năng lực'!$L$8:$L$79,"Hợp lệ")=0,"",SUMIFS('Đo năng lực'!$F$8:$F$79,'Đo năng lực'!$A$8:$A$79,"&gt;="&amp;$B$4,'Đo năng lực'!$A$8:$A$79,"&lt;"&amp;($B$4+7),'Đo năng lực'!$B$8:$B$79,A23,'Đo năng lực'!$C$8:$C$79,B23,'Đo năng lực'!$E$8:$E$79,"Mới",'Đo năng lực'!$L$8:$L$79,"Hợp lệ"))</x:f>
      </x:c>
      <x:c r="D23" s="2" t="str">
        <x:f>IF(COUNTIFS('Đo năng lực'!$A$8:$A$79,"&gt;="&amp;$B$4,'Đo năng lực'!$A$8:$A$79,"&lt;"&amp;($B$4+7),'Đo năng lực'!$B$8:$B$79,A23,'Đo năng lực'!$C$8:$C$79,B23,'Đo năng lực'!$E$8:$E$79,"Mới",'Đo năng lực'!$L$8:$L$79,"Hợp lệ")=0,"",SUMIFS('Đo năng lực'!$G$8:$G$79,'Đo năng lực'!$A$8:$A$79,"&gt;="&amp;$B$4,'Đo năng lực'!$A$8:$A$79,"&lt;"&amp;($B$4+7),'Đo năng lực'!$B$8:$B$79,A23,'Đo năng lực'!$C$8:$C$79,B23,'Đo năng lực'!$E$8:$E$79,"Mới",'Đo năng lực'!$L$8:$L$79,"Hợp lệ"))</x:f>
      </x:c>
      <x:c r="E23" s="27" t="str">
        <x:f>IF(COUNT(C23:D23)&lt;2,"",IF(D23&gt;0,C23/D23,""))</x:f>
      </x:c>
      <x:c r="F23" s="2" t="str">
        <x:f>IF(COUNTIFS('Đo năng lực'!$A$8:$A$79,"&gt;="&amp;$B$4,'Đo năng lực'!$A$8:$A$79,"&lt;"&amp;($B$4+7),'Đo năng lực'!$B$8:$B$79,A23,'Đo năng lực'!$C$8:$C$79,B23,'Đo năng lực'!$E$8:$E$79,"Mới",'Đo năng lực'!$L$8:$L$79,"Hợp lệ")=0,"",SUMIFS('Đo năng lực'!$H$8:$H$79,'Đo năng lực'!$A$8:$A$79,"&gt;="&amp;$B$4,'Đo năng lực'!$A$8:$A$79,"&lt;"&amp;($B$4+7),'Đo năng lực'!$B$8:$B$79,A23,'Đo năng lực'!$C$8:$C$79,B23,'Đo năng lực'!$E$8:$E$79,"Mới",'Đo năng lực'!$L$8:$L$79,"Hợp lệ"))</x:f>
      </x:c>
      <x:c r="G23" s="2" t="str">
        <x:f>IF(COUNT(D23)=0,"Chưa đo",IF(D23&lt;10,"Mẫu nhỏ","Có "&amp;D23&amp;" câu"))</x:f>
        <x:v>Chưa đo</x:v>
      </x:c>
    </x:row>
    <x:row r="24" ht="25" customHeight="1">
      <x:c r="A24" s="2" t="str">
        <x:v>N3</x:v>
      </x:c>
      <x:c r="B24" s="2" t="str">
        <x:v>Đọc</x:v>
      </x:c>
      <x:c r="C24" s="2" t="str">
        <x:f>IF(COUNTIFS('Đo năng lực'!$A$8:$A$79,"&gt;="&amp;$B$4,'Đo năng lực'!$A$8:$A$79,"&lt;"&amp;($B$4+7),'Đo năng lực'!$B$8:$B$79,A24,'Đo năng lực'!$C$8:$C$79,B24,'Đo năng lực'!$E$8:$E$79,"Mới",'Đo năng lực'!$L$8:$L$79,"Hợp lệ")=0,"",SUMIFS('Đo năng lực'!$F$8:$F$79,'Đo năng lực'!$A$8:$A$79,"&gt;="&amp;$B$4,'Đo năng lực'!$A$8:$A$79,"&lt;"&amp;($B$4+7),'Đo năng lực'!$B$8:$B$79,A24,'Đo năng lực'!$C$8:$C$79,B24,'Đo năng lực'!$E$8:$E$79,"Mới",'Đo năng lực'!$L$8:$L$79,"Hợp lệ"))</x:f>
      </x:c>
      <x:c r="D24" s="2" t="str">
        <x:f>IF(COUNTIFS('Đo năng lực'!$A$8:$A$79,"&gt;="&amp;$B$4,'Đo năng lực'!$A$8:$A$79,"&lt;"&amp;($B$4+7),'Đo năng lực'!$B$8:$B$79,A24,'Đo năng lực'!$C$8:$C$79,B24,'Đo năng lực'!$E$8:$E$79,"Mới",'Đo năng lực'!$L$8:$L$79,"Hợp lệ")=0,"",SUMIFS('Đo năng lực'!$G$8:$G$79,'Đo năng lực'!$A$8:$A$79,"&gt;="&amp;$B$4,'Đo năng lực'!$A$8:$A$79,"&lt;"&amp;($B$4+7),'Đo năng lực'!$B$8:$B$79,A24,'Đo năng lực'!$C$8:$C$79,B24,'Đo năng lực'!$E$8:$E$79,"Mới",'Đo năng lực'!$L$8:$L$79,"Hợp lệ"))</x:f>
      </x:c>
      <x:c r="E24" s="27" t="str">
        <x:f>IF(COUNT(C24:D24)&lt;2,"",IF(D24&gt;0,C24/D24,""))</x:f>
      </x:c>
      <x:c r="F24" s="2" t="str">
        <x:f>IF(COUNTIFS('Đo năng lực'!$A$8:$A$79,"&gt;="&amp;$B$4,'Đo năng lực'!$A$8:$A$79,"&lt;"&amp;($B$4+7),'Đo năng lực'!$B$8:$B$79,A24,'Đo năng lực'!$C$8:$C$79,B24,'Đo năng lực'!$E$8:$E$79,"Mới",'Đo năng lực'!$L$8:$L$79,"Hợp lệ")=0,"",SUMIFS('Đo năng lực'!$H$8:$H$79,'Đo năng lực'!$A$8:$A$79,"&gt;="&amp;$B$4,'Đo năng lực'!$A$8:$A$79,"&lt;"&amp;($B$4+7),'Đo năng lực'!$B$8:$B$79,A24,'Đo năng lực'!$C$8:$C$79,B24,'Đo năng lực'!$E$8:$E$79,"Mới",'Đo năng lực'!$L$8:$L$79,"Hợp lệ"))</x:f>
      </x:c>
      <x:c r="G24" s="2" t="str">
        <x:f>IF(COUNT(D24)=0,"Chưa đo",IF(D24&lt;10,"Mẫu nhỏ","Có "&amp;D24&amp;" câu"))</x:f>
        <x:v>Chưa đo</x:v>
      </x:c>
    </x:row>
    <x:row r="25" ht="25" customHeight="1">
      <x:c r="A25" s="2" t="str">
        <x:v>N3</x:v>
      </x:c>
      <x:c r="B25" s="2" t="str">
        <x:v>Nghe</x:v>
      </x:c>
      <x:c r="C25" s="2" t="str">
        <x:f>IF(COUNTIFS('Đo năng lực'!$A$8:$A$79,"&gt;="&amp;$B$4,'Đo năng lực'!$A$8:$A$79,"&lt;"&amp;($B$4+7),'Đo năng lực'!$B$8:$B$79,A25,'Đo năng lực'!$C$8:$C$79,B25,'Đo năng lực'!$E$8:$E$79,"Mới",'Đo năng lực'!$L$8:$L$79,"Hợp lệ")=0,"",SUMIFS('Đo năng lực'!$F$8:$F$79,'Đo năng lực'!$A$8:$A$79,"&gt;="&amp;$B$4,'Đo năng lực'!$A$8:$A$79,"&lt;"&amp;($B$4+7),'Đo năng lực'!$B$8:$B$79,A25,'Đo năng lực'!$C$8:$C$79,B25,'Đo năng lực'!$E$8:$E$79,"Mới",'Đo năng lực'!$L$8:$L$79,"Hợp lệ"))</x:f>
      </x:c>
      <x:c r="D25" s="2" t="str">
        <x:f>IF(COUNTIFS('Đo năng lực'!$A$8:$A$79,"&gt;="&amp;$B$4,'Đo năng lực'!$A$8:$A$79,"&lt;"&amp;($B$4+7),'Đo năng lực'!$B$8:$B$79,A25,'Đo năng lực'!$C$8:$C$79,B25,'Đo năng lực'!$E$8:$E$79,"Mới",'Đo năng lực'!$L$8:$L$79,"Hợp lệ")=0,"",SUMIFS('Đo năng lực'!$G$8:$G$79,'Đo năng lực'!$A$8:$A$79,"&gt;="&amp;$B$4,'Đo năng lực'!$A$8:$A$79,"&lt;"&amp;($B$4+7),'Đo năng lực'!$B$8:$B$79,A25,'Đo năng lực'!$C$8:$C$79,B25,'Đo năng lực'!$E$8:$E$79,"Mới",'Đo năng lực'!$L$8:$L$79,"Hợp lệ"))</x:f>
      </x:c>
      <x:c r="E25" s="27" t="str">
        <x:f>IF(COUNT(C25:D25)&lt;2,"",IF(D25&gt;0,C25/D25,""))</x:f>
      </x:c>
      <x:c r="F25" s="2" t="str">
        <x:f>IF(COUNTIFS('Đo năng lực'!$A$8:$A$79,"&gt;="&amp;$B$4,'Đo năng lực'!$A$8:$A$79,"&lt;"&amp;($B$4+7),'Đo năng lực'!$B$8:$B$79,A25,'Đo năng lực'!$C$8:$C$79,B25,'Đo năng lực'!$E$8:$E$79,"Mới",'Đo năng lực'!$L$8:$L$79,"Hợp lệ")=0,"",SUMIFS('Đo năng lực'!$H$8:$H$79,'Đo năng lực'!$A$8:$A$79,"&gt;="&amp;$B$4,'Đo năng lực'!$A$8:$A$79,"&lt;"&amp;($B$4+7),'Đo năng lực'!$B$8:$B$79,A25,'Đo năng lực'!$C$8:$C$79,B25,'Đo năng lực'!$E$8:$E$79,"Mới",'Đo năng lực'!$L$8:$L$79,"Hợp lệ"))</x:f>
      </x:c>
      <x:c r="G25" s="2" t="str">
        <x:f>IF(COUNT(D25)=0,"Chưa đo",IF(D25&lt;10,"Mẫu nhỏ","Có "&amp;D25&amp;" câu"))</x:f>
        <x:v>Chưa đo</x:v>
      </x:c>
    </x:row>
    <x:row r="26" ht="25" customHeight="1">
      <x:c r="A26" s="2" t="str">
        <x:v>N2</x:v>
      </x:c>
      <x:c r="B26" s="2" t="str">
        <x:v>Từ và kanji</x:v>
      </x:c>
      <x:c r="C26" s="2" t="str">
        <x:f>IF(COUNTIFS('Đo năng lực'!$A$8:$A$79,"&gt;="&amp;$B$4,'Đo năng lực'!$A$8:$A$79,"&lt;"&amp;($B$4+7),'Đo năng lực'!$B$8:$B$79,A26,'Đo năng lực'!$C$8:$C$79,B26,'Đo năng lực'!$E$8:$E$79,"Mới",'Đo năng lực'!$L$8:$L$79,"Hợp lệ")=0,"",SUMIFS('Đo năng lực'!$F$8:$F$79,'Đo năng lực'!$A$8:$A$79,"&gt;="&amp;$B$4,'Đo năng lực'!$A$8:$A$79,"&lt;"&amp;($B$4+7),'Đo năng lực'!$B$8:$B$79,A26,'Đo năng lực'!$C$8:$C$79,B26,'Đo năng lực'!$E$8:$E$79,"Mới",'Đo năng lực'!$L$8:$L$79,"Hợp lệ"))</x:f>
      </x:c>
      <x:c r="D26" s="2" t="str">
        <x:f>IF(COUNTIFS('Đo năng lực'!$A$8:$A$79,"&gt;="&amp;$B$4,'Đo năng lực'!$A$8:$A$79,"&lt;"&amp;($B$4+7),'Đo năng lực'!$B$8:$B$79,A26,'Đo năng lực'!$C$8:$C$79,B26,'Đo năng lực'!$E$8:$E$79,"Mới",'Đo năng lực'!$L$8:$L$79,"Hợp lệ")=0,"",SUMIFS('Đo năng lực'!$G$8:$G$79,'Đo năng lực'!$A$8:$A$79,"&gt;="&amp;$B$4,'Đo năng lực'!$A$8:$A$79,"&lt;"&amp;($B$4+7),'Đo năng lực'!$B$8:$B$79,A26,'Đo năng lực'!$C$8:$C$79,B26,'Đo năng lực'!$E$8:$E$79,"Mới",'Đo năng lực'!$L$8:$L$79,"Hợp lệ"))</x:f>
      </x:c>
      <x:c r="E26" s="27" t="str">
        <x:f>IF(COUNT(C26:D26)&lt;2,"",IF(D26&gt;0,C26/D26,""))</x:f>
      </x:c>
      <x:c r="F26" s="2" t="str">
        <x:f>IF(COUNTIFS('Đo năng lực'!$A$8:$A$79,"&gt;="&amp;$B$4,'Đo năng lực'!$A$8:$A$79,"&lt;"&amp;($B$4+7),'Đo năng lực'!$B$8:$B$79,A26,'Đo năng lực'!$C$8:$C$79,B26,'Đo năng lực'!$E$8:$E$79,"Mới",'Đo năng lực'!$L$8:$L$79,"Hợp lệ")=0,"",SUMIFS('Đo năng lực'!$H$8:$H$79,'Đo năng lực'!$A$8:$A$79,"&gt;="&amp;$B$4,'Đo năng lực'!$A$8:$A$79,"&lt;"&amp;($B$4+7),'Đo năng lực'!$B$8:$B$79,A26,'Đo năng lực'!$C$8:$C$79,B26,'Đo năng lực'!$E$8:$E$79,"Mới",'Đo năng lực'!$L$8:$L$79,"Hợp lệ"))</x:f>
      </x:c>
      <x:c r="G26" s="2" t="str">
        <x:f>IF(COUNT(D26)=0,"Chưa đo",IF(D26&lt;10,"Mẫu nhỏ","Có "&amp;D26&amp;" câu"))</x:f>
        <x:v>Chưa đo</x:v>
      </x:c>
    </x:row>
    <x:row r="27" ht="25" customHeight="1">
      <x:c r="A27" s="2" t="str">
        <x:v>N2</x:v>
      </x:c>
      <x:c r="B27" s="2" t="str">
        <x:v>Ngữ pháp</x:v>
      </x:c>
      <x:c r="C27" s="2" t="str">
        <x:f>IF(COUNTIFS('Đo năng lực'!$A$8:$A$79,"&gt;="&amp;$B$4,'Đo năng lực'!$A$8:$A$79,"&lt;"&amp;($B$4+7),'Đo năng lực'!$B$8:$B$79,A27,'Đo năng lực'!$C$8:$C$79,B27,'Đo năng lực'!$E$8:$E$79,"Mới",'Đo năng lực'!$L$8:$L$79,"Hợp lệ")=0,"",SUMIFS('Đo năng lực'!$F$8:$F$79,'Đo năng lực'!$A$8:$A$79,"&gt;="&amp;$B$4,'Đo năng lực'!$A$8:$A$79,"&lt;"&amp;($B$4+7),'Đo năng lực'!$B$8:$B$79,A27,'Đo năng lực'!$C$8:$C$79,B27,'Đo năng lực'!$E$8:$E$79,"Mới",'Đo năng lực'!$L$8:$L$79,"Hợp lệ"))</x:f>
      </x:c>
      <x:c r="D27" s="2" t="str">
        <x:f>IF(COUNTIFS('Đo năng lực'!$A$8:$A$79,"&gt;="&amp;$B$4,'Đo năng lực'!$A$8:$A$79,"&lt;"&amp;($B$4+7),'Đo năng lực'!$B$8:$B$79,A27,'Đo năng lực'!$C$8:$C$79,B27,'Đo năng lực'!$E$8:$E$79,"Mới",'Đo năng lực'!$L$8:$L$79,"Hợp lệ")=0,"",SUMIFS('Đo năng lực'!$G$8:$G$79,'Đo năng lực'!$A$8:$A$79,"&gt;="&amp;$B$4,'Đo năng lực'!$A$8:$A$79,"&lt;"&amp;($B$4+7),'Đo năng lực'!$B$8:$B$79,A27,'Đo năng lực'!$C$8:$C$79,B27,'Đo năng lực'!$E$8:$E$79,"Mới",'Đo năng lực'!$L$8:$L$79,"Hợp lệ"))</x:f>
      </x:c>
      <x:c r="E27" s="27" t="str">
        <x:f>IF(COUNT(C27:D27)&lt;2,"",IF(D27&gt;0,C27/D27,""))</x:f>
      </x:c>
      <x:c r="F27" s="2" t="str">
        <x:f>IF(COUNTIFS('Đo năng lực'!$A$8:$A$79,"&gt;="&amp;$B$4,'Đo năng lực'!$A$8:$A$79,"&lt;"&amp;($B$4+7),'Đo năng lực'!$B$8:$B$79,A27,'Đo năng lực'!$C$8:$C$79,B27,'Đo năng lực'!$E$8:$E$79,"Mới",'Đo năng lực'!$L$8:$L$79,"Hợp lệ")=0,"",SUMIFS('Đo năng lực'!$H$8:$H$79,'Đo năng lực'!$A$8:$A$79,"&gt;="&amp;$B$4,'Đo năng lực'!$A$8:$A$79,"&lt;"&amp;($B$4+7),'Đo năng lực'!$B$8:$B$79,A27,'Đo năng lực'!$C$8:$C$79,B27,'Đo năng lực'!$E$8:$E$79,"Mới",'Đo năng lực'!$L$8:$L$79,"Hợp lệ"))</x:f>
      </x:c>
      <x:c r="G27" s="2" t="str">
        <x:f>IF(COUNT(D27)=0,"Chưa đo",IF(D27&lt;10,"Mẫu nhỏ","Có "&amp;D27&amp;" câu"))</x:f>
        <x:v>Chưa đo</x:v>
      </x:c>
    </x:row>
    <x:row r="28" ht="25" customHeight="1">
      <x:c r="A28" s="2" t="str">
        <x:v>N2</x:v>
      </x:c>
      <x:c r="B28" s="2" t="str">
        <x:v>Đọc</x:v>
      </x:c>
      <x:c r="C28" s="2" t="str">
        <x:f>IF(COUNTIFS('Đo năng lực'!$A$8:$A$79,"&gt;="&amp;$B$4,'Đo năng lực'!$A$8:$A$79,"&lt;"&amp;($B$4+7),'Đo năng lực'!$B$8:$B$79,A28,'Đo năng lực'!$C$8:$C$79,B28,'Đo năng lực'!$E$8:$E$79,"Mới",'Đo năng lực'!$L$8:$L$79,"Hợp lệ")=0,"",SUMIFS('Đo năng lực'!$F$8:$F$79,'Đo năng lực'!$A$8:$A$79,"&gt;="&amp;$B$4,'Đo năng lực'!$A$8:$A$79,"&lt;"&amp;($B$4+7),'Đo năng lực'!$B$8:$B$79,A28,'Đo năng lực'!$C$8:$C$79,B28,'Đo năng lực'!$E$8:$E$79,"Mới",'Đo năng lực'!$L$8:$L$79,"Hợp lệ"))</x:f>
      </x:c>
      <x:c r="D28" s="2" t="str">
        <x:f>IF(COUNTIFS('Đo năng lực'!$A$8:$A$79,"&gt;="&amp;$B$4,'Đo năng lực'!$A$8:$A$79,"&lt;"&amp;($B$4+7),'Đo năng lực'!$B$8:$B$79,A28,'Đo năng lực'!$C$8:$C$79,B28,'Đo năng lực'!$E$8:$E$79,"Mới",'Đo năng lực'!$L$8:$L$79,"Hợp lệ")=0,"",SUMIFS('Đo năng lực'!$G$8:$G$79,'Đo năng lực'!$A$8:$A$79,"&gt;="&amp;$B$4,'Đo năng lực'!$A$8:$A$79,"&lt;"&amp;($B$4+7),'Đo năng lực'!$B$8:$B$79,A28,'Đo năng lực'!$C$8:$C$79,B28,'Đo năng lực'!$E$8:$E$79,"Mới",'Đo năng lực'!$L$8:$L$79,"Hợp lệ"))</x:f>
      </x:c>
      <x:c r="E28" s="27" t="str">
        <x:f>IF(COUNT(C28:D28)&lt;2,"",IF(D28&gt;0,C28/D28,""))</x:f>
      </x:c>
      <x:c r="F28" s="2" t="str">
        <x:f>IF(COUNTIFS('Đo năng lực'!$A$8:$A$79,"&gt;="&amp;$B$4,'Đo năng lực'!$A$8:$A$79,"&lt;"&amp;($B$4+7),'Đo năng lực'!$B$8:$B$79,A28,'Đo năng lực'!$C$8:$C$79,B28,'Đo năng lực'!$E$8:$E$79,"Mới",'Đo năng lực'!$L$8:$L$79,"Hợp lệ")=0,"",SUMIFS('Đo năng lực'!$H$8:$H$79,'Đo năng lực'!$A$8:$A$79,"&gt;="&amp;$B$4,'Đo năng lực'!$A$8:$A$79,"&lt;"&amp;($B$4+7),'Đo năng lực'!$B$8:$B$79,A28,'Đo năng lực'!$C$8:$C$79,B28,'Đo năng lực'!$E$8:$E$79,"Mới",'Đo năng lực'!$L$8:$L$79,"Hợp lệ"))</x:f>
      </x:c>
      <x:c r="G28" s="2" t="str">
        <x:f>IF(COUNT(D28)=0,"Chưa đo",IF(D28&lt;10,"Mẫu nhỏ","Có "&amp;D28&amp;" câu"))</x:f>
        <x:v>Chưa đo</x:v>
      </x:c>
    </x:row>
    <x:row r="29" ht="25" customHeight="1">
      <x:c r="A29" s="2" t="str">
        <x:v>N2</x:v>
      </x:c>
      <x:c r="B29" s="2" t="str">
        <x:v>Nghe</x:v>
      </x:c>
      <x:c r="C29" s="2" t="str">
        <x:f>IF(COUNTIFS('Đo năng lực'!$A$8:$A$79,"&gt;="&amp;$B$4,'Đo năng lực'!$A$8:$A$79,"&lt;"&amp;($B$4+7),'Đo năng lực'!$B$8:$B$79,A29,'Đo năng lực'!$C$8:$C$79,B29,'Đo năng lực'!$E$8:$E$79,"Mới",'Đo năng lực'!$L$8:$L$79,"Hợp lệ")=0,"",SUMIFS('Đo năng lực'!$F$8:$F$79,'Đo năng lực'!$A$8:$A$79,"&gt;="&amp;$B$4,'Đo năng lực'!$A$8:$A$79,"&lt;"&amp;($B$4+7),'Đo năng lực'!$B$8:$B$79,A29,'Đo năng lực'!$C$8:$C$79,B29,'Đo năng lực'!$E$8:$E$79,"Mới",'Đo năng lực'!$L$8:$L$79,"Hợp lệ"))</x:f>
      </x:c>
      <x:c r="D29" s="2" t="str">
        <x:f>IF(COUNTIFS('Đo năng lực'!$A$8:$A$79,"&gt;="&amp;$B$4,'Đo năng lực'!$A$8:$A$79,"&lt;"&amp;($B$4+7),'Đo năng lực'!$B$8:$B$79,A29,'Đo năng lực'!$C$8:$C$79,B29,'Đo năng lực'!$E$8:$E$79,"Mới",'Đo năng lực'!$L$8:$L$79,"Hợp lệ")=0,"",SUMIFS('Đo năng lực'!$G$8:$G$79,'Đo năng lực'!$A$8:$A$79,"&gt;="&amp;$B$4,'Đo năng lực'!$A$8:$A$79,"&lt;"&amp;($B$4+7),'Đo năng lực'!$B$8:$B$79,A29,'Đo năng lực'!$C$8:$C$79,B29,'Đo năng lực'!$E$8:$E$79,"Mới",'Đo năng lực'!$L$8:$L$79,"Hợp lệ"))</x:f>
      </x:c>
      <x:c r="E29" s="27" t="str">
        <x:f>IF(COUNT(C29:D29)&lt;2,"",IF(D29&gt;0,C29/D29,""))</x:f>
      </x:c>
      <x:c r="F29" s="2" t="str">
        <x:f>IF(COUNTIFS('Đo năng lực'!$A$8:$A$79,"&gt;="&amp;$B$4,'Đo năng lực'!$A$8:$A$79,"&lt;"&amp;($B$4+7),'Đo năng lực'!$B$8:$B$79,A29,'Đo năng lực'!$C$8:$C$79,B29,'Đo năng lực'!$E$8:$E$79,"Mới",'Đo năng lực'!$L$8:$L$79,"Hợp lệ")=0,"",SUMIFS('Đo năng lực'!$H$8:$H$79,'Đo năng lực'!$A$8:$A$79,"&gt;="&amp;$B$4,'Đo năng lực'!$A$8:$A$79,"&lt;"&amp;($B$4+7),'Đo năng lực'!$B$8:$B$79,A29,'Đo năng lực'!$C$8:$C$79,B29,'Đo năng lực'!$E$8:$E$79,"Mới",'Đo năng lực'!$L$8:$L$79,"Hợp lệ"))</x:f>
      </x:c>
      <x:c r="G29" s="2" t="str">
        <x:f>IF(COUNT(D29)=0,"Chưa đo",IF(D29&lt;10,"Mẫu nhỏ","Có "&amp;D29&amp;" câu"))</x:f>
        <x:v>Chưa đo</x:v>
      </x:c>
    </x:row>
    <x:row r="30" ht="9" customHeight="1">
      <x:c r="A30" s="2"/>
      <x:c r="B30" s="2"/>
      <x:c r="C30" s="2"/>
      <x:c r="D30" s="2"/>
      <x:c r="E30" s="2"/>
      <x:c r="F30" s="2"/>
      <x:c r="G30" s="2"/>
    </x:row>
    <x:row r="31" ht="25" customHeight="1">
      <x:c r="A31" s="2" t="str">
        <x:v>Khối N4 đã chấm</x:v>
      </x:c>
      <x:c r="B31" s="2" t="str">
        <x:f>COUNTIF('Làm nhanh'!$P$172:$P$177,"Đã chấm")&amp;"/6 khối"</x:f>
        <x:v>0/6 khối</x:v>
      </x:c>
      <x:c r="C31" s="2"/>
      <x:c r="D31" s="2" t="str">
        <x:v>N3 tùy chọn</x:v>
      </x:c>
      <x:c r="E31" s="2" t="str">
        <x:f>COUNTIF('Làm nhanh'!$P$178:$P$182,"Đã chấm")&amp;"/5 khối"</x:f>
        <x:v>0/5 khối</x:v>
      </x:c>
      <x:c r="F31" s="2"/>
      <x:c r="G31" s="2"/>
    </x:row>
    <x:row r="32" ht="9" customHeight="1">
      <x:c r="A32" s="2"/>
      <x:c r="B32" s="2"/>
      <x:c r="C32" s="2"/>
      <x:c r="D32" s="2"/>
      <x:c r="E32" s="2"/>
      <x:c r="F32" s="2"/>
      <x:c r="G32" s="2"/>
    </x:row>
    <x:row r="33" ht="25" customHeight="1">
      <x:c r="A33" s="58" t="str">
        <x:v>Mở Làm nhanh</x:v>
      </x:c>
      <x:c r="B33" s="2"/>
      <x:c r="C33" s="2"/>
      <x:c r="D33" s="44" t="str">
        <x:v>Ghi nhật ký ngày</x:v>
      </x:c>
      <x:c r="E33" s="2"/>
      <x:c r="F33" s="2"/>
      <x:c r="G33" s="2"/>
    </x:row>
    <x:row r="34" ht="9" customHeight="1">
      <x:c r="A34" s="2"/>
      <x:c r="B34" s="2"/>
      <x:c r="C34" s="2"/>
      <x:c r="D34" s="2"/>
      <x:c r="E34" s="2"/>
      <x:c r="F34" s="2"/>
      <x:c r="G34" s="2"/>
    </x:row>
    <x:row r="35" ht="25" customHeight="1">
      <x:c r="A35" s="12" t="str">
        <x:v>Màu 60% và 80% là mốc quan sát, không phải ngưỡng đỗ. Không đổi độ đúng thô sang điểm JLPT.</x:v>
      </x:c>
      <x:c r="B35" s="2"/>
      <x:c r="C35" s="2"/>
      <x:c r="D35" s="2"/>
      <x:c r="E35" s="2"/>
      <x:c r="F35" s="2"/>
      <x:c r="G35" s="2"/>
    </x:row>
    <x:row r="36" ht="25" customHeight="1">
      <x:c r="A36" s="12" t="str">
        <x:v>Trống là chưa có dữ liệu. Cỡ mẫu nhỏ cần đo thêm câu chưa thấy; không kết luận cấp độ từ vài câu.</x:v>
      </x:c>
      <x:c r="B36" s="2"/>
      <x:c r="C36" s="2"/>
      <x:c r="D36" s="2"/>
      <x:c r="E36" s="2"/>
      <x:c r="F36" s="2"/>
      <x:c r="G36" s="2"/>
    </x:row>
    <x:row r="38" ht="29" customHeight="1">
      <x:c r="A38" s="70" t="str">
        <x:v>Ngày bắt đầu thật</x:v>
      </x:c>
      <x:c r="B38" s="71"/>
      <x:c r="C38" s="70" t="str">
        <x:v>D7 (+7 ngày)</x:v>
      </x:c>
      <x:c r="D38" s="72" t="str">
        <x:f>IF(IF(ISNUMBER($B$38),AND($B$38&gt;=1,$B$38&lt;=2958451,MOD($B$38,1)=0),FALSE),B38+7,"Chưa đủ dữ liệu")</x:f>
        <x:v>Chưa đủ dữ liệu</x:v>
      </x:c>
      <x:c r="E38" s="70" t="str">
        <x:v>D14 (+14 ngày)</x:v>
      </x:c>
      <x:c r="F38" s="72" t="str">
        <x:f>IF(IF(ISNUMBER($B$38),AND($B$38&gt;=1,$B$38&lt;=2958451,MOD($B$38,1)=0),FALSE),B38+14,"Chưa đủ dữ liệu")</x:f>
        <x:v>Chưa đủ dữ liệu</x:v>
      </x:c>
      <x:c r="G38" s="70"/>
    </x:row>
    <x:row r="39" ht="29" customHeight="1">
      <x:c r="A39" s="70"/>
      <x:c r="B39" s="70"/>
      <x:c r="C39" s="70"/>
      <x:c r="D39" s="70"/>
      <x:c r="E39" s="70"/>
      <x:c r="F39" s="70"/>
      <x:c r="G39" s="70"/>
    </x:row>
    <x:row r="40" ht="29" customHeight="1">
      <x:c r="A40" s="70" t="str">
        <x:v>D7: dữ liệu để xem</x:v>
      </x:c>
      <x:c r="B40" s="70" t="str">
        <x:f>IF(NOT(IF(ISNUMBER($B$38),AND($B$38&gt;=1,$B$38&lt;=2958451,MOD($B$38,1)=0),FALSE)),"Chưa đủ dữ liệu",IF(AND(COUNTIFS('Nhật ký'!$A$8:$A$59,"&gt;="&amp;$B$38,'Nhật ký'!$A$8:$A$59,"&lt;="&amp;($B$38+7),'Nhật ký'!$J$8:$J$59,"Hợp lệ")&gt;=3,SUMIFS('Đo năng lực'!$G$8:$G$79,'Đo năng lực'!$A$8:$A$79,"&gt;="&amp;$B$38,'Đo năng lực'!$A$8:$A$79,"&lt;="&amp;($B$38+7),'Đo năng lực'!$B$8:$B$79,"N4",'Đo năng lực'!$E$8:$E$79,"Mới",'Đo năng lực'!$L$8:$L$79,"Hợp lệ",'Đo năng lực'!$C$8:$C$79,"Ngữ pháp")&gt;=10,SUMIFS('Đo năng lực'!$G$8:$G$79,'Đo năng lực'!$A$8:$A$79,"&gt;="&amp;$B$38,'Đo năng lực'!$A$8:$A$79,"&lt;="&amp;($B$38+7),'Đo năng lực'!$B$8:$B$79,"N4",'Đo năng lực'!$E$8:$E$79,"Mới",'Đo năng lực'!$L$8:$L$79,"Hợp lệ",'Đo năng lực'!$C$8:$C$79,"Đọc")&gt;=5,SUMIFS('Đo năng lực'!$G$8:$G$79,'Đo năng lực'!$A$8:$A$79,"&gt;="&amp;$B$38,'Đo năng lực'!$A$8:$A$79,"&lt;="&amp;($B$38+7),'Đo năng lực'!$B$8:$B$79,"N4",'Đo năng lực'!$E$8:$E$79,"Mới",'Đo năng lực'!$L$8:$L$79,"Hợp lệ",'Đo năng lực'!$C$8:$C$79,"Nghe")&gt;=5),"Có dữ liệu; tự đối chiếu trang 11","Chưa đủ dữ liệu"))</x:f>
        <x:v>Chưa đủ dữ liệu</x:v>
      </x:c>
      <x:c r="C40" s="70"/>
      <x:c r="D40" s="70"/>
      <x:c r="E40" s="70"/>
      <x:c r="F40" s="70"/>
      <x:c r="G40" s="70"/>
    </x:row>
    <x:row r="41" ht="29" customHeight="1">
      <x:c r="A41" s="70" t="str">
        <x:v>D14: dữ liệu để so</x:v>
      </x:c>
      <x:c r="B41" s="70" t="str">
        <x:f>IF(NOT(IF(ISNUMBER($B$38),AND($B$38&gt;=1,$B$38&lt;=2958451,MOD($B$38,1)=0),FALSE)),"Chưa đủ dữ liệu",IF(AND(COUNTIFS('Nhật ký'!$A$8:$A$59,"&gt;="&amp;$B$38,'Nhật ký'!$A$8:$A$59,"&lt;="&amp;($B$38+14),'Nhật ký'!$J$8:$J$59,"Hợp lệ")&gt;=3,SUMIFS('Đo năng lực'!$G$8:$G$79,'Đo năng lực'!$A$8:$A$79,"&gt;="&amp;$B$38,'Đo năng lực'!$A$8:$A$79,"&lt;="&amp;($B$38+14),'Đo năng lực'!$B$8:$B$79,"N4",'Đo năng lực'!$E$8:$E$79,"Mới",'Đo năng lực'!$L$8:$L$79,"Hợp lệ",'Đo năng lực'!$C$8:$C$79,"Ngữ pháp")&gt;=10,SUMIFS('Đo năng lực'!$G$8:$G$79,'Đo năng lực'!$A$8:$A$79,"&gt;="&amp;$B$38,'Đo năng lực'!$A$8:$A$79,"&lt;="&amp;($B$38+14),'Đo năng lực'!$B$8:$B$79,"N4",'Đo năng lực'!$E$8:$E$79,"Mới",'Đo năng lực'!$L$8:$L$79,"Hợp lệ",'Đo năng lực'!$C$8:$C$79,"Đọc")&gt;=5,SUMIFS('Đo năng lực'!$G$8:$G$79,'Đo năng lực'!$A$8:$A$79,"&gt;="&amp;$B$38,'Đo năng lực'!$A$8:$A$79,"&lt;="&amp;($B$38+14),'Đo năng lực'!$B$8:$B$79,"N4",'Đo năng lực'!$E$8:$E$79,"Mới",'Đo năng lực'!$L$8:$L$79,"Hợp lệ",'Đo năng lực'!$C$8:$C$79,"Nghe")&gt;=5,COUNTIFS('Đo năng lực'!$A$8:$A$79,"&gt;="&amp;$B$38,'Đo năng lực'!$A$8:$A$79,"&lt;="&amp;($B$38+14),'Đo năng lực'!$B$8:$B$79,"N4",'Đo năng lực'!$E$8:$E$79,"Mới",'Đo năng lực'!$L$8:$L$79,"Hợp lệ",'Đo năng lực'!$C$8:$C$79,"Ngữ pháp")&gt;=2),"Có dữ liệu; tự đối chiếu trang 11","Chưa đủ dữ liệu"))</x:f>
        <x:v>Chưa đủ dữ liệu</x:v>
      </x:c>
      <x:c r="C41" s="70"/>
      <x:c r="D41" s="70"/>
      <x:c r="E41" s="70"/>
      <x:c r="F41" s="70"/>
      <x:c r="G41" s="70"/>
    </x:row>
    <x:row r="42" ht="29" customHeight="1">
      <x:c r="A42" s="70"/>
      <x:c r="B42" s="70"/>
      <x:c r="C42" s="70"/>
      <x:c r="D42" s="70"/>
      <x:c r="E42" s="70"/>
      <x:c r="F42" s="70"/>
      <x:c r="G42" s="70"/>
    </x:row>
    <x:row r="43" ht="29" customHeight="1">
      <x:c r="A43" s="70" t="str">
        <x:v>B38 không đổi ngày lịch sử. Đổi B4 để xem tuần chứa ngày hoàn tất.</x:v>
      </x:c>
      <x:c r="B43" s="70"/>
      <x:c r="C43" s="70"/>
      <x:c r="D43" s="70"/>
      <x:c r="E43" s="70"/>
      <x:c r="F43" s="70"/>
      <x:c r="G43" s="70"/>
    </x:row>
    <x:row r="44" ht="29" customHeight="1">
      <x:c r="A44" s="70" t="str">
        <x:v>Chưa đủ dữ liệu là trạng thái hợp lệ; không tính khả năng đỗ N2.</x:v>
      </x:c>
      <x:c r="B44" s="70"/>
      <x:c r="C44" s="70"/>
      <x:c r="D44" s="70"/>
      <x:c r="E44" s="70"/>
      <x:c r="F44" s="70"/>
      <x:c r="G44" s="70"/>
    </x:row>
  </x:sheetData>
  <x:mergeCells>
    <x:mergeCell ref="B40:G40"/>
    <x:mergeCell ref="B41:G41"/>
  </x:mergeCells>
  <x:conditionalFormatting sqref="E18:E29">
    <x:cfRule type="expression" dxfId="8" priority="1">
      <x:formula>AND(ISNUMBER(E18),E18&lt;0.6)</x:formula>
    </x:cfRule>
    <x:cfRule type="expression" dxfId="9" priority="2">
      <x:formula>AND(ISNUMBER(E18),E18&gt;=0.6,E18&lt;0.8)</x:formula>
    </x:cfRule>
    <x:cfRule type="expression" dxfId="10" priority="3">
      <x:formula>AND(ISNUMBER(E18),E18&gt;=0.8)</x:formula>
    </x:cfRule>
  </x:conditionalFormatting>
  <x:conditionalFormatting sqref="B12:B13">
    <x:cfRule type="expression" dxfId="11" priority="4">
      <x:formula>B12&gt;0</x:formula>
    </x:cfRule>
  </x:conditionalFormatting>
  <x:dataValidations count="2">
    <x:dataValidation type="whole" errorStyle="stop" operator="between" allowBlank="1" showErrorMessage="1" errorTitle="Giá trị chưa hợp lệ" error="Nhập đúng phạm vi; 0 là bỏ câu, trống là chưa làm." sqref="B4">
      <x:formula1>1</x:formula1>
      <x:formula2>2958465</x:formula2>
    </x:dataValidation>
    <x:dataValidation type="whole" operator="between" sqref="B38" allowBlank="1" showErrorMessage="1" errorStyle="stop" errorTitle="Giá trị chưa hợp lệ" error="Nhập đúng phạm vi; 0 là bỏ câu, trống là chưa làm.">
      <x:formula1>1</x:formula1>
      <x:formula2>2958451</x:formula2>
    </x:dataValidation>
  </x:dataValidations>
  <x:hyperlinks>
    <x:hyperlink ref="A33" display="Mở Làm nhanh" location="'Làm nhanh'!B13"/>
    <x:hyperlink ref="D33" display="Ghi nhật ký ngày" location="'Nhật ký'!B8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14C62"/>
  </x:sheetPr>
  <x:sheetViews>
    <x:sheetView showGridLines="0" workbookViewId="0" tabSelected="0">
      <x:pane xSplit="1" ySplit="7" topLeftCell="B8" activePane="bottomRight" state="frozen"/>
    </x:sheetView>
  </x:sheetViews>
  <x:sheetFormatPr defaultRowHeight="15"/>
  <x:cols>
    <x:col min="1" max="1" width="12" hidden="0" customWidth="1"/>
    <x:col min="2" max="2" width="8" hidden="0" customWidth="1"/>
    <x:col min="3" max="3" width="15" hidden="0" customWidth="1"/>
    <x:col min="4" max="4" width="11" hidden="0" customWidth="1"/>
    <x:col min="5" max="5" width="13" hidden="0" customWidth="1"/>
    <x:col min="6" max="6" width="12" hidden="0" customWidth="1"/>
    <x:col min="7" max="7" width="15" hidden="0" customWidth="1"/>
    <x:col min="8" max="8" width="13" hidden="0" customWidth="1"/>
    <x:col min="9" max="9" width="17" hidden="0" customWidth="1"/>
    <x:col min="10" max="10" width="24" hidden="0" customWidth="1"/>
    <x:col min="11" max="11" width="19" hidden="0" customWidth="1"/>
    <x:col min="13" max="16" hidden="1" width="14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10" t="str">
        <x:v>Phiếu đáp án chẩn đoán N4 và N3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12" t="str">
        <x:v>Chế độ chi tiết được giữ nguyên. Mỗi khối chọn một chế độ: trang này hoặc Làm nhanh.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12" t="str">
        <x:v>Sau lượt đo mở khóa trong hướng dẫn PDF; chọn G Đúng/Sai/Bỏ trống, H mã lỗi nếu biết.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5" customHeight="1">
      <x:c r="A6" s="12" t="str">
        <x:v>Cuối khối bấm Ghi ngày/phút rồi nhập H ngày thật, I phút làm, J Mới/Ôn lại. Ô xanh tự tính.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M6" t="str">
        <x:v>Khóa chính thức 2018, chỉ dùng tự học cá nhân; phần phụ trợ ẩn để tránh xem trước.</x:v>
      </x:c>
    </x:row>
    <x:row r="7" ht="34" customHeight="1">
      <x:c r="A7" s="36" t="str">
        <x:v>Khối</x:v>
      </x:c>
      <x:c r="B7" s="37" t="str">
        <x:v>Cấp</x:v>
      </x:c>
      <x:c r="C7" s="37" t="str">
        <x:v>Kỹ năng</x:v>
      </x:c>
      <x:c r="D7" s="37" t="str">
        <x:v>Câu</x:v>
      </x:c>
      <x:c r="E7" s="37" t="str">
        <x:v>Nguồn</x:v>
      </x:c>
      <x:c r="F7" s="37" t="str">
        <x:v>Bạn chọn</x:v>
      </x:c>
      <x:c r="G7" s="37" t="str">
        <x:v>Tự chấm</x:v>
      </x:c>
      <x:c r="H7" s="37" t="str">
        <x:v>Mã lỗi</x:v>
      </x:c>
      <x:c r="I7" s="37" t="str">
        <x:v>Kết thúc khối</x:v>
      </x:c>
      <x:c r="J7" s="37" t="str">
        <x:v>Kiểm tra câu</x:v>
      </x:c>
      <x:c r="K7" s="38" t="str">
        <x:v>Số lựa chọn</x:v>
      </x:c>
      <x:c r="M7" t="str">
        <x:v>Mã câu</x:v>
      </x:c>
      <x:c r="N7" t="str">
        <x:v>Khóa đã đối chiếu</x:v>
      </x:c>
      <x:c r="O7" t="str">
        <x:v>Vị trí nguồn</x:v>
      </x:c>
    </x:row>
    <x:row r="8" ht="25" customHeight="1">
      <x:c r="A8" s="2" t="str">
        <x:v>N4-G1</x:v>
      </x:c>
      <x:c r="B8" s="2" t="str">
        <x:v>N4</x:v>
      </x:c>
      <x:c r="C8" s="2" t="str">
        <x:v>Ngữ pháp</x:v>
      </x:c>
      <x:c r="D8" s="2" t="str">
        <x:v>1</x:v>
      </x:c>
      <x:c r="E8" s="44" t="str">
        <x:v>Mở đề</x:v>
      </x:c>
      <x:c r="F8" s="39"/>
      <x:c r="G8" s="39"/>
      <x:c r="H8" s="39"/>
      <x:c r="I8" s="2"/>
      <x:c r="J8" s="40" t="str">
        <x:f>IF(AND(ISBLANK(F8),ISBLANK(G8),ISBLANK(H8)),"",IF(NOT(ISNUMBER(F8)),"Lỗi đáp án",IF(OR(F8&lt;0,F8&gt;K8,MOD(F8,1)&lt;&gt;0),"Lỗi đáp án",IF(AND(LEN(H8)&gt;0,COUNTIF('Nhật ký'!$I$63:$I$69,H8)=0),"Lỗi mã",IF(AND(F8=0,G8="Bỏ trống"),"Đã chấm",IF(AND(F8&gt;0,OR(G8="Đúng",G8="Sai")),"Đã chấm",IF(ISBLANK(G8),"Chưa chấm","Kiểm tra bỏ trống")))))))</x:f>
      </x:c>
      <x:c r="K8" s="40" t="n">
        <x:v>4</x:v>
      </x:c>
      <x:c r="M8" t="str">
        <x:v>N4-G1:1</x:v>
      </x:c>
      <x:c r="N8" t="n">
        <x:v>3</x:v>
      </x:c>
      <x:c r="O8" t="str">
        <x:v>N4answer.pdf p1</x:v>
      </x:c>
    </x:row>
    <x:row r="9" ht="25" customHeight="1">
      <x:c r="A9" s="2" t="str">
        <x:v>N4-G1</x:v>
      </x:c>
      <x:c r="B9" s="2" t="str">
        <x:v>N4</x:v>
      </x:c>
      <x:c r="C9" s="2" t="str">
        <x:v>Ngữ pháp</x:v>
      </x:c>
      <x:c r="D9" s="2" t="str">
        <x:v>2</x:v>
      </x:c>
      <x:c r="E9" s="44" t="str">
        <x:v>Mở đề</x:v>
      </x:c>
      <x:c r="F9" s="39"/>
      <x:c r="G9" s="39"/>
      <x:c r="H9" s="39"/>
      <x:c r="I9" s="2"/>
      <x:c r="J9" s="40" t="str">
        <x:f>IF(AND(ISBLANK(F9),ISBLANK(G9),ISBLANK(H9)),"",IF(NOT(ISNUMBER(F9)),"Lỗi đáp án",IF(OR(F9&lt;0,F9&gt;K9,MOD(F9,1)&lt;&gt;0),"Lỗi đáp án",IF(AND(LEN(H9)&gt;0,COUNTIF('Nhật ký'!$I$63:$I$69,H9)=0),"Lỗi mã",IF(AND(F9=0,G9="Bỏ trống"),"Đã chấm",IF(AND(F9&gt;0,OR(G9="Đúng",G9="Sai")),"Đã chấm",IF(ISBLANK(G9),"Chưa chấm","Kiểm tra bỏ trống")))))))</x:f>
      </x:c>
      <x:c r="K9" s="40" t="n">
        <x:v>4</x:v>
      </x:c>
      <x:c r="M9" t="str">
        <x:v>N4-G1:2</x:v>
      </x:c>
      <x:c r="N9" t="n">
        <x:v>4</x:v>
      </x:c>
      <x:c r="O9" t="str">
        <x:v>N4answer.pdf p1</x:v>
      </x:c>
    </x:row>
    <x:row r="10" ht="25" customHeight="1">
      <x:c r="A10" s="2" t="str">
        <x:v>N4-G1</x:v>
      </x:c>
      <x:c r="B10" s="2" t="str">
        <x:v>N4</x:v>
      </x:c>
      <x:c r="C10" s="2" t="str">
        <x:v>Ngữ pháp</x:v>
      </x:c>
      <x:c r="D10" s="2" t="str">
        <x:v>3</x:v>
      </x:c>
      <x:c r="E10" s="44" t="str">
        <x:v>Mở đề</x:v>
      </x:c>
      <x:c r="F10" s="39"/>
      <x:c r="G10" s="39"/>
      <x:c r="H10" s="39"/>
      <x:c r="I10" s="2"/>
      <x:c r="J10" s="40" t="str">
        <x:f>IF(AND(ISBLANK(F10),ISBLANK(G10),ISBLANK(H10)),"",IF(NOT(ISNUMBER(F10)),"Lỗi đáp án",IF(OR(F10&lt;0,F10&gt;K10,MOD(F10,1)&lt;&gt;0),"Lỗi đáp án",IF(AND(LEN(H10)&gt;0,COUNTIF('Nhật ký'!$I$63:$I$69,H10)=0),"Lỗi mã",IF(AND(F10=0,G10="Bỏ trống"),"Đã chấm",IF(AND(F10&gt;0,OR(G10="Đúng",G10="Sai")),"Đã chấm",IF(ISBLANK(G10),"Chưa chấm","Kiểm tra bỏ trống")))))))</x:f>
      </x:c>
      <x:c r="K10" s="40" t="n">
        <x:v>4</x:v>
      </x:c>
      <x:c r="M10" t="str">
        <x:v>N4-G1:3</x:v>
      </x:c>
      <x:c r="N10" t="n">
        <x:v>2</x:v>
      </x:c>
      <x:c r="O10" t="str">
        <x:v>N4answer.pdf p1</x:v>
      </x:c>
    </x:row>
    <x:row r="11" ht="25" customHeight="1">
      <x:c r="A11" s="2" t="str">
        <x:v>N4-G1</x:v>
      </x:c>
      <x:c r="B11" s="2" t="str">
        <x:v>N4</x:v>
      </x:c>
      <x:c r="C11" s="2" t="str">
        <x:v>Ngữ pháp</x:v>
      </x:c>
      <x:c r="D11" s="2" t="str">
        <x:v>4</x:v>
      </x:c>
      <x:c r="E11" s="44" t="str">
        <x:v>Mở đề</x:v>
      </x:c>
      <x:c r="F11" s="39"/>
      <x:c r="G11" s="39"/>
      <x:c r="H11" s="39"/>
      <x:c r="I11" s="2"/>
      <x:c r="J11" s="40" t="str">
        <x:f>IF(AND(ISBLANK(F11),ISBLANK(G11),ISBLANK(H11)),"",IF(NOT(ISNUMBER(F11)),"Lỗi đáp án",IF(OR(F11&lt;0,F11&gt;K11,MOD(F11,1)&lt;&gt;0),"Lỗi đáp án",IF(AND(LEN(H11)&gt;0,COUNTIF('Nhật ký'!$I$63:$I$69,H11)=0),"Lỗi mã",IF(AND(F11=0,G11="Bỏ trống"),"Đã chấm",IF(AND(F11&gt;0,OR(G11="Đúng",G11="Sai")),"Đã chấm",IF(ISBLANK(G11),"Chưa chấm","Kiểm tra bỏ trống")))))))</x:f>
      </x:c>
      <x:c r="K11" s="40" t="n">
        <x:v>4</x:v>
      </x:c>
      <x:c r="M11" t="str">
        <x:v>N4-G1:4</x:v>
      </x:c>
      <x:c r="N11" t="n">
        <x:v>1</x:v>
      </x:c>
      <x:c r="O11" t="str">
        <x:v>N4answer.pdf p1</x:v>
      </x:c>
    </x:row>
    <x:row r="12" ht="25" customHeight="1">
      <x:c r="A12" s="2" t="str">
        <x:v>N4-G1</x:v>
      </x:c>
      <x:c r="B12" s="2" t="str">
        <x:v>N4</x:v>
      </x:c>
      <x:c r="C12" s="2" t="str">
        <x:v>Ngữ pháp</x:v>
      </x:c>
      <x:c r="D12" s="2" t="str">
        <x:v>5</x:v>
      </x:c>
      <x:c r="E12" s="44" t="str">
        <x:v>Mở đề</x:v>
      </x:c>
      <x:c r="F12" s="39"/>
      <x:c r="G12" s="39"/>
      <x:c r="H12" s="39"/>
      <x:c r="I12" s="2"/>
      <x:c r="J12" s="40" t="str">
        <x:f>IF(AND(ISBLANK(F12),ISBLANK(G12),ISBLANK(H12)),"",IF(NOT(ISNUMBER(F12)),"Lỗi đáp án",IF(OR(F12&lt;0,F12&gt;K12,MOD(F12,1)&lt;&gt;0),"Lỗi đáp án",IF(AND(LEN(H12)&gt;0,COUNTIF('Nhật ký'!$I$63:$I$69,H12)=0),"Lỗi mã",IF(AND(F12=0,G12="Bỏ trống"),"Đã chấm",IF(AND(F12&gt;0,OR(G12="Đúng",G12="Sai")),"Đã chấm",IF(ISBLANK(G12),"Chưa chấm","Kiểm tra bỏ trống")))))))</x:f>
      </x:c>
      <x:c r="K12" s="40" t="n">
        <x:v>4</x:v>
      </x:c>
      <x:c r="M12" t="str">
        <x:v>N4-G1:5</x:v>
      </x:c>
      <x:c r="N12" t="n">
        <x:v>4</x:v>
      </x:c>
      <x:c r="O12" t="str">
        <x:v>N4answer.pdf p1</x:v>
      </x:c>
    </x:row>
    <x:row r="13" ht="25" customHeight="1">
      <x:c r="A13" s="2" t="str">
        <x:v>N4-G1</x:v>
      </x:c>
      <x:c r="B13" s="2" t="str">
        <x:v>N4</x:v>
      </x:c>
      <x:c r="C13" s="2" t="str">
        <x:v>Ngữ pháp</x:v>
      </x:c>
      <x:c r="D13" s="2" t="str">
        <x:v>6</x:v>
      </x:c>
      <x:c r="E13" s="44" t="str">
        <x:v>Mở đề</x:v>
      </x:c>
      <x:c r="F13" s="39"/>
      <x:c r="G13" s="39"/>
      <x:c r="H13" s="39"/>
      <x:c r="I13" s="44" t="str">
        <x:v>Ghi ngày/phút</x:v>
      </x:c>
      <x:c r="J13" s="40" t="str">
        <x:f>IF(AND(ISBLANK(F13),ISBLANK(G13),ISBLANK(H13)),"",IF(NOT(ISNUMBER(F13)),"Lỗi đáp án",IF(OR(F13&lt;0,F13&gt;K13,MOD(F13,1)&lt;&gt;0),"Lỗi đáp án",IF(AND(LEN(H13)&gt;0,COUNTIF('Nhật ký'!$I$63:$I$69,H13)=0),"Lỗi mã",IF(AND(F13=0,G13="Bỏ trống"),"Đã chấm",IF(AND(F13&gt;0,OR(G13="Đúng",G13="Sai")),"Đã chấm",IF(ISBLANK(G13),"Chưa chấm","Kiểm tra bỏ trống")))))))</x:f>
      </x:c>
      <x:c r="K13" s="40" t="n">
        <x:v>4</x:v>
      </x:c>
      <x:c r="M13" t="str">
        <x:v>N4-G1:6</x:v>
      </x:c>
      <x:c r="N13" t="n">
        <x:v>1</x:v>
      </x:c>
      <x:c r="O13" t="str">
        <x:v>N4answer.pdf p1</x:v>
      </x:c>
    </x:row>
    <x:row r="14" ht="25" customHeight="1">
      <x:c r="A14" s="2" t="str">
        <x:v>N4-G2</x:v>
      </x:c>
      <x:c r="B14" s="2" t="str">
        <x:v>N4</x:v>
      </x:c>
      <x:c r="C14" s="2" t="str">
        <x:v>Ngữ pháp</x:v>
      </x:c>
      <x:c r="D14" s="2" t="str">
        <x:v>16</x:v>
      </x:c>
      <x:c r="E14" s="44" t="str">
        <x:v>Mở đề</x:v>
      </x:c>
      <x:c r="F14" s="39"/>
      <x:c r="G14" s="39"/>
      <x:c r="H14" s="39"/>
      <x:c r="I14" s="2"/>
      <x:c r="J14" s="40" t="str">
        <x:f>IF(AND(ISBLANK(F14),ISBLANK(G14),ISBLANK(H14)),"",IF(NOT(ISNUMBER(F14)),"Lỗi đáp án",IF(OR(F14&lt;0,F14&gt;K14,MOD(F14,1)&lt;&gt;0),"Lỗi đáp án",IF(AND(LEN(H14)&gt;0,COUNTIF('Nhật ký'!$I$63:$I$69,H14)=0),"Lỗi mã",IF(AND(F14=0,G14="Bỏ trống"),"Đã chấm",IF(AND(F14&gt;0,OR(G14="Đúng",G14="Sai")),"Đã chấm",IF(ISBLANK(G14),"Chưa chấm","Kiểm tra bỏ trống")))))))</x:f>
      </x:c>
      <x:c r="K14" s="40" t="n">
        <x:v>4</x:v>
      </x:c>
      <x:c r="M14" t="str">
        <x:v>N4-G2:16</x:v>
      </x:c>
      <x:c r="N14" t="n">
        <x:v>1</x:v>
      </x:c>
      <x:c r="O14" t="str">
        <x:v>N4answer.pdf p1</x:v>
      </x:c>
    </x:row>
    <x:row r="15" ht="25" customHeight="1">
      <x:c r="A15" s="2" t="str">
        <x:v>N4-G2</x:v>
      </x:c>
      <x:c r="B15" s="2" t="str">
        <x:v>N4</x:v>
      </x:c>
      <x:c r="C15" s="2" t="str">
        <x:v>Ngữ pháp</x:v>
      </x:c>
      <x:c r="D15" s="2" t="str">
        <x:v>17</x:v>
      </x:c>
      <x:c r="E15" s="44" t="str">
        <x:v>Mở đề</x:v>
      </x:c>
      <x:c r="F15" s="39"/>
      <x:c r="G15" s="39"/>
      <x:c r="H15" s="39"/>
      <x:c r="I15" s="2"/>
      <x:c r="J15" s="40" t="str">
        <x:f>IF(AND(ISBLANK(F15),ISBLANK(G15),ISBLANK(H15)),"",IF(NOT(ISNUMBER(F15)),"Lỗi đáp án",IF(OR(F15&lt;0,F15&gt;K15,MOD(F15,1)&lt;&gt;0),"Lỗi đáp án",IF(AND(LEN(H15)&gt;0,COUNTIF('Nhật ký'!$I$63:$I$69,H15)=0),"Lỗi mã",IF(AND(F15=0,G15="Bỏ trống"),"Đã chấm",IF(AND(F15&gt;0,OR(G15="Đúng",G15="Sai")),"Đã chấm",IF(ISBLANK(G15),"Chưa chấm","Kiểm tra bỏ trống")))))))</x:f>
      </x:c>
      <x:c r="K15" s="40" t="n">
        <x:v>4</x:v>
      </x:c>
      <x:c r="M15" t="str">
        <x:v>N4-G2:17</x:v>
      </x:c>
      <x:c r="N15" t="n">
        <x:v>2</x:v>
      </x:c>
      <x:c r="O15" t="str">
        <x:v>N4answer.pdf p1</x:v>
      </x:c>
    </x:row>
    <x:row r="16" ht="25" customHeight="1">
      <x:c r="A16" s="2" t="str">
        <x:v>N4-G2</x:v>
      </x:c>
      <x:c r="B16" s="2" t="str">
        <x:v>N4</x:v>
      </x:c>
      <x:c r="C16" s="2" t="str">
        <x:v>Ngữ pháp</x:v>
      </x:c>
      <x:c r="D16" s="2" t="str">
        <x:v>21</x:v>
      </x:c>
      <x:c r="E16" s="44" t="str">
        <x:v>Mở đề</x:v>
      </x:c>
      <x:c r="F16" s="39"/>
      <x:c r="G16" s="39"/>
      <x:c r="H16" s="39"/>
      <x:c r="I16" s="2"/>
      <x:c r="J16" s="40" t="str">
        <x:f>IF(AND(ISBLANK(F16),ISBLANK(G16),ISBLANK(H16)),"",IF(NOT(ISNUMBER(F16)),"Lỗi đáp án",IF(OR(F16&lt;0,F16&gt;K16,MOD(F16,1)&lt;&gt;0),"Lỗi đáp án",IF(AND(LEN(H16)&gt;0,COUNTIF('Nhật ký'!$I$63:$I$69,H16)=0),"Lỗi mã",IF(AND(F16=0,G16="Bỏ trống"),"Đã chấm",IF(AND(F16&gt;0,OR(G16="Đúng",G16="Sai")),"Đã chấm",IF(ISBLANK(G16),"Chưa chấm","Kiểm tra bỏ trống")))))))</x:f>
      </x:c>
      <x:c r="K16" s="40" t="n">
        <x:v>4</x:v>
      </x:c>
      <x:c r="M16" t="str">
        <x:v>N4-G2:21</x:v>
      </x:c>
      <x:c r="N16" t="n">
        <x:v>3</x:v>
      </x:c>
      <x:c r="O16" t="str">
        <x:v>N4answer.pdf p1</x:v>
      </x:c>
    </x:row>
    <x:row r="17" ht="25" customHeight="1">
      <x:c r="A17" s="2" t="str">
        <x:v>N4-G2</x:v>
      </x:c>
      <x:c r="B17" s="2" t="str">
        <x:v>N4</x:v>
      </x:c>
      <x:c r="C17" s="2" t="str">
        <x:v>Ngữ pháp</x:v>
      </x:c>
      <x:c r="D17" s="2" t="str">
        <x:v>22</x:v>
      </x:c>
      <x:c r="E17" s="44" t="str">
        <x:v>Mở đề</x:v>
      </x:c>
      <x:c r="F17" s="39"/>
      <x:c r="G17" s="39"/>
      <x:c r="H17" s="39"/>
      <x:c r="I17" s="2"/>
      <x:c r="J17" s="40" t="str">
        <x:f>IF(AND(ISBLANK(F17),ISBLANK(G17),ISBLANK(H17)),"",IF(NOT(ISNUMBER(F17)),"Lỗi đáp án",IF(OR(F17&lt;0,F17&gt;K17,MOD(F17,1)&lt;&gt;0),"Lỗi đáp án",IF(AND(LEN(H17)&gt;0,COUNTIF('Nhật ký'!$I$63:$I$69,H17)=0),"Lỗi mã",IF(AND(F17=0,G17="Bỏ trống"),"Đã chấm",IF(AND(F17&gt;0,OR(G17="Đúng",G17="Sai")),"Đã chấm",IF(ISBLANK(G17),"Chưa chấm","Kiểm tra bỏ trống")))))))</x:f>
      </x:c>
      <x:c r="K17" s="40" t="n">
        <x:v>4</x:v>
      </x:c>
      <x:c r="M17" t="str">
        <x:v>N4-G2:22</x:v>
      </x:c>
      <x:c r="N17" t="n">
        <x:v>1</x:v>
      </x:c>
      <x:c r="O17" t="str">
        <x:v>N4answer.pdf p1</x:v>
      </x:c>
    </x:row>
    <x:row r="18" ht="25" customHeight="1">
      <x:c r="A18" s="2" t="str">
        <x:v>N4-G2</x:v>
      </x:c>
      <x:c r="B18" s="2" t="str">
        <x:v>N4</x:v>
      </x:c>
      <x:c r="C18" s="2" t="str">
        <x:v>Ngữ pháp</x:v>
      </x:c>
      <x:c r="D18" s="2" t="str">
        <x:v>23</x:v>
      </x:c>
      <x:c r="E18" s="44" t="str">
        <x:v>Mở đề</x:v>
      </x:c>
      <x:c r="F18" s="39"/>
      <x:c r="G18" s="39"/>
      <x:c r="H18" s="39"/>
      <x:c r="I18" s="2"/>
      <x:c r="J18" s="40" t="str">
        <x:f>IF(AND(ISBLANK(F18),ISBLANK(G18),ISBLANK(H18)),"",IF(NOT(ISNUMBER(F18)),"Lỗi đáp án",IF(OR(F18&lt;0,F18&gt;K18,MOD(F18,1)&lt;&gt;0),"Lỗi đáp án",IF(AND(LEN(H18)&gt;0,COUNTIF('Nhật ký'!$I$63:$I$69,H18)=0),"Lỗi mã",IF(AND(F18=0,G18="Bỏ trống"),"Đã chấm",IF(AND(F18&gt;0,OR(G18="Đúng",G18="Sai")),"Đã chấm",IF(ISBLANK(G18),"Chưa chấm","Kiểm tra bỏ trống")))))))</x:f>
      </x:c>
      <x:c r="K18" s="40" t="n">
        <x:v>4</x:v>
      </x:c>
      <x:c r="M18" t="str">
        <x:v>N4-G2:23</x:v>
      </x:c>
      <x:c r="N18" t="n">
        <x:v>4</x:v>
      </x:c>
      <x:c r="O18" t="str">
        <x:v>N4answer.pdf p1</x:v>
      </x:c>
    </x:row>
    <x:row r="19" ht="25" customHeight="1">
      <x:c r="A19" s="2" t="str">
        <x:v>N4-G2</x:v>
      </x:c>
      <x:c r="B19" s="2" t="str">
        <x:v>N4</x:v>
      </x:c>
      <x:c r="C19" s="2" t="str">
        <x:v>Ngữ pháp</x:v>
      </x:c>
      <x:c r="D19" s="2" t="str">
        <x:v>24</x:v>
      </x:c>
      <x:c r="E19" s="44" t="str">
        <x:v>Mở đề</x:v>
      </x:c>
      <x:c r="F19" s="39"/>
      <x:c r="G19" s="39"/>
      <x:c r="H19" s="39"/>
      <x:c r="I19" s="2"/>
      <x:c r="J19" s="40" t="str">
        <x:f>IF(AND(ISBLANK(F19),ISBLANK(G19),ISBLANK(H19)),"",IF(NOT(ISNUMBER(F19)),"Lỗi đáp án",IF(OR(F19&lt;0,F19&gt;K19,MOD(F19,1)&lt;&gt;0),"Lỗi đáp án",IF(AND(LEN(H19)&gt;0,COUNTIF('Nhật ký'!$I$63:$I$69,H19)=0),"Lỗi mã",IF(AND(F19=0,G19="Bỏ trống"),"Đã chấm",IF(AND(F19&gt;0,OR(G19="Đúng",G19="Sai")),"Đã chấm",IF(ISBLANK(G19),"Chưa chấm","Kiểm tra bỏ trống")))))))</x:f>
      </x:c>
      <x:c r="K19" s="40" t="n">
        <x:v>4</x:v>
      </x:c>
      <x:c r="M19" t="str">
        <x:v>N4-G2:24</x:v>
      </x:c>
      <x:c r="N19" t="n">
        <x:v>2</x:v>
      </x:c>
      <x:c r="O19" t="str">
        <x:v>N4answer.pdf p1</x:v>
      </x:c>
    </x:row>
    <x:row r="20" ht="25" customHeight="1">
      <x:c r="A20" s="2" t="str">
        <x:v>N4-G2</x:v>
      </x:c>
      <x:c r="B20" s="2" t="str">
        <x:v>N4</x:v>
      </x:c>
      <x:c r="C20" s="2" t="str">
        <x:v>Ngữ pháp</x:v>
      </x:c>
      <x:c r="D20" s="2" t="str">
        <x:v>25</x:v>
      </x:c>
      <x:c r="E20" s="44" t="str">
        <x:v>Mở đề</x:v>
      </x:c>
      <x:c r="F20" s="39"/>
      <x:c r="G20" s="39"/>
      <x:c r="H20" s="39"/>
      <x:c r="I20" s="44" t="str">
        <x:v>Ghi ngày/phút</x:v>
      </x:c>
      <x:c r="J20" s="40" t="str">
        <x:f>IF(AND(ISBLANK(F20),ISBLANK(G20),ISBLANK(H20)),"",IF(NOT(ISNUMBER(F20)),"Lỗi đáp án",IF(OR(F20&lt;0,F20&gt;K20,MOD(F20,1)&lt;&gt;0),"Lỗi đáp án",IF(AND(LEN(H20)&gt;0,COUNTIF('Nhật ký'!$I$63:$I$69,H20)=0),"Lỗi mã",IF(AND(F20=0,G20="Bỏ trống"),"Đã chấm",IF(AND(F20&gt;0,OR(G20="Đúng",G20="Sai")),"Đã chấm",IF(ISBLANK(G20),"Chưa chấm","Kiểm tra bỏ trống")))))))</x:f>
      </x:c>
      <x:c r="K20" s="40" t="n">
        <x:v>4</x:v>
      </x:c>
      <x:c r="M20" t="str">
        <x:v>N4-G2:25</x:v>
      </x:c>
      <x:c r="N20" t="n">
        <x:v>3</x:v>
      </x:c>
      <x:c r="O20" t="str">
        <x:v>N4answer.pdf p1</x:v>
      </x:c>
    </x:row>
    <x:row r="21" ht="25" customHeight="1">
      <x:c r="A21" s="2" t="str">
        <x:v>N4-V</x:v>
      </x:c>
      <x:c r="B21" s="2" t="str">
        <x:v>N4</x:v>
      </x:c>
      <x:c r="C21" s="2" t="str">
        <x:v>Từ và kanji</x:v>
      </x:c>
      <x:c r="D21" s="2" t="str">
        <x:v>1</x:v>
      </x:c>
      <x:c r="E21" s="44" t="str">
        <x:v>Mở đề</x:v>
      </x:c>
      <x:c r="F21" s="39"/>
      <x:c r="G21" s="39"/>
      <x:c r="H21" s="39"/>
      <x:c r="I21" s="2"/>
      <x:c r="J21" s="40" t="str">
        <x:f>IF(AND(ISBLANK(F21),ISBLANK(G21),ISBLANK(H21)),"",IF(NOT(ISNUMBER(F21)),"Lỗi đáp án",IF(OR(F21&lt;0,F21&gt;K21,MOD(F21,1)&lt;&gt;0),"Lỗi đáp án",IF(AND(LEN(H21)&gt;0,COUNTIF('Nhật ký'!$I$63:$I$69,H21)=0),"Lỗi mã",IF(AND(F21=0,G21="Bỏ trống"),"Đã chấm",IF(AND(F21&gt;0,OR(G21="Đúng",G21="Sai")),"Đã chấm",IF(ISBLANK(G21),"Chưa chấm","Kiểm tra bỏ trống")))))))</x:f>
      </x:c>
      <x:c r="K21" s="40" t="n">
        <x:v>4</x:v>
      </x:c>
      <x:c r="M21" t="str">
        <x:v>N4-V:1</x:v>
      </x:c>
      <x:c r="N21" t="n">
        <x:v>3</x:v>
      </x:c>
      <x:c r="O21" t="str">
        <x:v>N4answer.pdf p1</x:v>
      </x:c>
    </x:row>
    <x:row r="22" ht="25" customHeight="1">
      <x:c r="A22" s="2" t="str">
        <x:v>N4-V</x:v>
      </x:c>
      <x:c r="B22" s="2" t="str">
        <x:v>N4</x:v>
      </x:c>
      <x:c r="C22" s="2" t="str">
        <x:v>Từ và kanji</x:v>
      </x:c>
      <x:c r="D22" s="2" t="str">
        <x:v>2</x:v>
      </x:c>
      <x:c r="E22" s="44" t="str">
        <x:v>Mở đề</x:v>
      </x:c>
      <x:c r="F22" s="39"/>
      <x:c r="G22" s="39"/>
      <x:c r="H22" s="39"/>
      <x:c r="I22" s="2"/>
      <x:c r="J22" s="40" t="str">
        <x:f>IF(AND(ISBLANK(F22),ISBLANK(G22),ISBLANK(H22)),"",IF(NOT(ISNUMBER(F22)),"Lỗi đáp án",IF(OR(F22&lt;0,F22&gt;K22,MOD(F22,1)&lt;&gt;0),"Lỗi đáp án",IF(AND(LEN(H22)&gt;0,COUNTIF('Nhật ký'!$I$63:$I$69,H22)=0),"Lỗi mã",IF(AND(F22=0,G22="Bỏ trống"),"Đã chấm",IF(AND(F22&gt;0,OR(G22="Đúng",G22="Sai")),"Đã chấm",IF(ISBLANK(G22),"Chưa chấm","Kiểm tra bỏ trống")))))))</x:f>
      </x:c>
      <x:c r="K22" s="40" t="n">
        <x:v>4</x:v>
      </x:c>
      <x:c r="M22" t="str">
        <x:v>N4-V:2</x:v>
      </x:c>
      <x:c r="N22" t="n">
        <x:v>4</x:v>
      </x:c>
      <x:c r="O22" t="str">
        <x:v>N4answer.pdf p1</x:v>
      </x:c>
    </x:row>
    <x:row r="23" ht="25" customHeight="1">
      <x:c r="A23" s="2" t="str">
        <x:v>N4-V</x:v>
      </x:c>
      <x:c r="B23" s="2" t="str">
        <x:v>N4</x:v>
      </x:c>
      <x:c r="C23" s="2" t="str">
        <x:v>Từ và kanji</x:v>
      </x:c>
      <x:c r="D23" s="2" t="str">
        <x:v>10</x:v>
      </x:c>
      <x:c r="E23" s="44" t="str">
        <x:v>Mở đề</x:v>
      </x:c>
      <x:c r="F23" s="39"/>
      <x:c r="G23" s="39"/>
      <x:c r="H23" s="39"/>
      <x:c r="I23" s="2"/>
      <x:c r="J23" s="40" t="str">
        <x:f>IF(AND(ISBLANK(F23),ISBLANK(G23),ISBLANK(H23)),"",IF(NOT(ISNUMBER(F23)),"Lỗi đáp án",IF(OR(F23&lt;0,F23&gt;K23,MOD(F23,1)&lt;&gt;0),"Lỗi đáp án",IF(AND(LEN(H23)&gt;0,COUNTIF('Nhật ký'!$I$63:$I$69,H23)=0),"Lỗi mã",IF(AND(F23=0,G23="Bỏ trống"),"Đã chấm",IF(AND(F23&gt;0,OR(G23="Đúng",G23="Sai")),"Đã chấm",IF(ISBLANK(G23),"Chưa chấm","Kiểm tra bỏ trống")))))))</x:f>
      </x:c>
      <x:c r="K23" s="40" t="n">
        <x:v>4</x:v>
      </x:c>
      <x:c r="M23" t="str">
        <x:v>N4-V:10</x:v>
      </x:c>
      <x:c r="N23" t="n">
        <x:v>2</x:v>
      </x:c>
      <x:c r="O23" t="str">
        <x:v>N4answer.pdf p1</x:v>
      </x:c>
    </x:row>
    <x:row r="24" ht="25" customHeight="1">
      <x:c r="A24" s="2" t="str">
        <x:v>N4-V</x:v>
      </x:c>
      <x:c r="B24" s="2" t="str">
        <x:v>N4</x:v>
      </x:c>
      <x:c r="C24" s="2" t="str">
        <x:v>Từ và kanji</x:v>
      </x:c>
      <x:c r="D24" s="2" t="str">
        <x:v>11</x:v>
      </x:c>
      <x:c r="E24" s="44" t="str">
        <x:v>Mở đề</x:v>
      </x:c>
      <x:c r="F24" s="39"/>
      <x:c r="G24" s="39"/>
      <x:c r="H24" s="39"/>
      <x:c r="I24" s="2"/>
      <x:c r="J24" s="40" t="str">
        <x:f>IF(AND(ISBLANK(F24),ISBLANK(G24),ISBLANK(H24)),"",IF(NOT(ISNUMBER(F24)),"Lỗi đáp án",IF(OR(F24&lt;0,F24&gt;K24,MOD(F24,1)&lt;&gt;0),"Lỗi đáp án",IF(AND(LEN(H24)&gt;0,COUNTIF('Nhật ký'!$I$63:$I$69,H24)=0),"Lỗi mã",IF(AND(F24=0,G24="Bỏ trống"),"Đã chấm",IF(AND(F24&gt;0,OR(G24="Đúng",G24="Sai")),"Đã chấm",IF(ISBLANK(G24),"Chưa chấm","Kiểm tra bỏ trống")))))))</x:f>
      </x:c>
      <x:c r="K24" s="40" t="n">
        <x:v>4</x:v>
      </x:c>
      <x:c r="M24" t="str">
        <x:v>N4-V:11</x:v>
      </x:c>
      <x:c r="N24" t="n">
        <x:v>3</x:v>
      </x:c>
      <x:c r="O24" t="str">
        <x:v>N4answer.pdf p1</x:v>
      </x:c>
    </x:row>
    <x:row r="25" ht="25" customHeight="1">
      <x:c r="A25" s="2" t="str">
        <x:v>N4-V</x:v>
      </x:c>
      <x:c r="B25" s="2" t="str">
        <x:v>N4</x:v>
      </x:c>
      <x:c r="C25" s="2" t="str">
        <x:v>Từ và kanji</x:v>
      </x:c>
      <x:c r="D25" s="2" t="str">
        <x:v>16</x:v>
      </x:c>
      <x:c r="E25" s="44" t="str">
        <x:v>Mở đề</x:v>
      </x:c>
      <x:c r="F25" s="39"/>
      <x:c r="G25" s="39"/>
      <x:c r="H25" s="39"/>
      <x:c r="I25" s="2"/>
      <x:c r="J25" s="40" t="str">
        <x:f>IF(AND(ISBLANK(F25),ISBLANK(G25),ISBLANK(H25)),"",IF(NOT(ISNUMBER(F25)),"Lỗi đáp án",IF(OR(F25&lt;0,F25&gt;K25,MOD(F25,1)&lt;&gt;0),"Lỗi đáp án",IF(AND(LEN(H25)&gt;0,COUNTIF('Nhật ký'!$I$63:$I$69,H25)=0),"Lỗi mã",IF(AND(F25=0,G25="Bỏ trống"),"Đã chấm",IF(AND(F25&gt;0,OR(G25="Đúng",G25="Sai")),"Đã chấm",IF(ISBLANK(G25),"Chưa chấm","Kiểm tra bỏ trống")))))))</x:f>
      </x:c>
      <x:c r="K25" s="40" t="n">
        <x:v>4</x:v>
      </x:c>
      <x:c r="M25" t="str">
        <x:v>N4-V:16</x:v>
      </x:c>
      <x:c r="N25" t="n">
        <x:v>1</x:v>
      </x:c>
      <x:c r="O25" t="str">
        <x:v>N4answer.pdf p1</x:v>
      </x:c>
    </x:row>
    <x:row r="26" ht="25" customHeight="1">
      <x:c r="A26" s="2" t="str">
        <x:v>N4-V</x:v>
      </x:c>
      <x:c r="B26" s="2" t="str">
        <x:v>N4</x:v>
      </x:c>
      <x:c r="C26" s="2" t="str">
        <x:v>Từ và kanji</x:v>
      </x:c>
      <x:c r="D26" s="2" t="str">
        <x:v>17</x:v>
      </x:c>
      <x:c r="E26" s="44" t="str">
        <x:v>Mở đề</x:v>
      </x:c>
      <x:c r="F26" s="39"/>
      <x:c r="G26" s="39"/>
      <x:c r="H26" s="39"/>
      <x:c r="I26" s="2"/>
      <x:c r="J26" s="40" t="str">
        <x:f>IF(AND(ISBLANK(F26),ISBLANK(G26),ISBLANK(H26)),"",IF(NOT(ISNUMBER(F26)),"Lỗi đáp án",IF(OR(F26&lt;0,F26&gt;K26,MOD(F26,1)&lt;&gt;0),"Lỗi đáp án",IF(AND(LEN(H26)&gt;0,COUNTIF('Nhật ký'!$I$63:$I$69,H26)=0),"Lỗi mã",IF(AND(F26=0,G26="Bỏ trống"),"Đã chấm",IF(AND(F26&gt;0,OR(G26="Đúng",G26="Sai")),"Đã chấm",IF(ISBLANK(G26),"Chưa chấm","Kiểm tra bỏ trống")))))))</x:f>
      </x:c>
      <x:c r="K26" s="40" t="n">
        <x:v>4</x:v>
      </x:c>
      <x:c r="M26" t="str">
        <x:v>N4-V:17</x:v>
      </x:c>
      <x:c r="N26" t="n">
        <x:v>2</x:v>
      </x:c>
      <x:c r="O26" t="str">
        <x:v>N4answer.pdf p1</x:v>
      </x:c>
    </x:row>
    <x:row r="27" ht="25" customHeight="1">
      <x:c r="A27" s="2" t="str">
        <x:v>N4-V</x:v>
      </x:c>
      <x:c r="B27" s="2" t="str">
        <x:v>N4</x:v>
      </x:c>
      <x:c r="C27" s="2" t="str">
        <x:v>Từ và kanji</x:v>
      </x:c>
      <x:c r="D27" s="2" t="str">
        <x:v>26</x:v>
      </x:c>
      <x:c r="E27" s="44" t="str">
        <x:v>Mở đề</x:v>
      </x:c>
      <x:c r="F27" s="39"/>
      <x:c r="G27" s="39"/>
      <x:c r="H27" s="39"/>
      <x:c r="I27" s="2"/>
      <x:c r="J27" s="40" t="str">
        <x:f>IF(AND(ISBLANK(F27),ISBLANK(G27),ISBLANK(H27)),"",IF(NOT(ISNUMBER(F27)),"Lỗi đáp án",IF(OR(F27&lt;0,F27&gt;K27,MOD(F27,1)&lt;&gt;0),"Lỗi đáp án",IF(AND(LEN(H27)&gt;0,COUNTIF('Nhật ký'!$I$63:$I$69,H27)=0),"Lỗi mã",IF(AND(F27=0,G27="Bỏ trống"),"Đã chấm",IF(AND(F27&gt;0,OR(G27="Đúng",G27="Sai")),"Đã chấm",IF(ISBLANK(G27),"Chưa chấm","Kiểm tra bỏ trống")))))))</x:f>
      </x:c>
      <x:c r="K27" s="40" t="n">
        <x:v>4</x:v>
      </x:c>
      <x:c r="M27" t="str">
        <x:v>N4-V:26</x:v>
      </x:c>
      <x:c r="N27" t="n">
        <x:v>2</x:v>
      </x:c>
      <x:c r="O27" t="str">
        <x:v>N4answer.pdf p1</x:v>
      </x:c>
    </x:row>
    <x:row r="28" ht="25" customHeight="1">
      <x:c r="A28" s="2" t="str">
        <x:v>N4-V</x:v>
      </x:c>
      <x:c r="B28" s="2" t="str">
        <x:v>N4</x:v>
      </x:c>
      <x:c r="C28" s="2" t="str">
        <x:v>Từ và kanji</x:v>
      </x:c>
      <x:c r="D28" s="2" t="str">
        <x:v>27</x:v>
      </x:c>
      <x:c r="E28" s="44" t="str">
        <x:v>Mở đề</x:v>
      </x:c>
      <x:c r="F28" s="39"/>
      <x:c r="G28" s="39"/>
      <x:c r="H28" s="39"/>
      <x:c r="I28" s="2"/>
      <x:c r="J28" s="40" t="str">
        <x:f>IF(AND(ISBLANK(F28),ISBLANK(G28),ISBLANK(H28)),"",IF(NOT(ISNUMBER(F28)),"Lỗi đáp án",IF(OR(F28&lt;0,F28&gt;K28,MOD(F28,1)&lt;&gt;0),"Lỗi đáp án",IF(AND(LEN(H28)&gt;0,COUNTIF('Nhật ký'!$I$63:$I$69,H28)=0),"Lỗi mã",IF(AND(F28=0,G28="Bỏ trống"),"Đã chấm",IF(AND(F28&gt;0,OR(G28="Đúng",G28="Sai")),"Đã chấm",IF(ISBLANK(G28),"Chưa chấm","Kiểm tra bỏ trống")))))))</x:f>
      </x:c>
      <x:c r="K28" s="40" t="n">
        <x:v>4</x:v>
      </x:c>
      <x:c r="M28" t="str">
        <x:v>N4-V:27</x:v>
      </x:c>
      <x:c r="N28" t="n">
        <x:v>2</x:v>
      </x:c>
      <x:c r="O28" t="str">
        <x:v>N4answer.pdf p1</x:v>
      </x:c>
    </x:row>
    <x:row r="29" ht="25" customHeight="1">
      <x:c r="A29" s="2" t="str">
        <x:v>N4-V</x:v>
      </x:c>
      <x:c r="B29" s="2" t="str">
        <x:v>N4</x:v>
      </x:c>
      <x:c r="C29" s="2" t="str">
        <x:v>Từ và kanji</x:v>
      </x:c>
      <x:c r="D29" s="2" t="str">
        <x:v>31</x:v>
      </x:c>
      <x:c r="E29" s="44" t="str">
        <x:v>Mở đề</x:v>
      </x:c>
      <x:c r="F29" s="39"/>
      <x:c r="G29" s="39"/>
      <x:c r="H29" s="39"/>
      <x:c r="I29" s="2"/>
      <x:c r="J29" s="40" t="str">
        <x:f>IF(AND(ISBLANK(F29),ISBLANK(G29),ISBLANK(H29)),"",IF(NOT(ISNUMBER(F29)),"Lỗi đáp án",IF(OR(F29&lt;0,F29&gt;K29,MOD(F29,1)&lt;&gt;0),"Lỗi đáp án",IF(AND(LEN(H29)&gt;0,COUNTIF('Nhật ký'!$I$63:$I$69,H29)=0),"Lỗi mã",IF(AND(F29=0,G29="Bỏ trống"),"Đã chấm",IF(AND(F29&gt;0,OR(G29="Đúng",G29="Sai")),"Đã chấm",IF(ISBLANK(G29),"Chưa chấm","Kiểm tra bỏ trống")))))))</x:f>
      </x:c>
      <x:c r="K29" s="40" t="n">
        <x:v>4</x:v>
      </x:c>
      <x:c r="M29" t="str">
        <x:v>N4-V:31</x:v>
      </x:c>
      <x:c r="N29" t="n">
        <x:v>3</x:v>
      </x:c>
      <x:c r="O29" t="str">
        <x:v>N4answer.pdf p1</x:v>
      </x:c>
    </x:row>
    <x:row r="30" ht="25" customHeight="1">
      <x:c r="A30" s="2" t="str">
        <x:v>N4-V</x:v>
      </x:c>
      <x:c r="B30" s="2" t="str">
        <x:v>N4</x:v>
      </x:c>
      <x:c r="C30" s="2" t="str">
        <x:v>Từ và kanji</x:v>
      </x:c>
      <x:c r="D30" s="2" t="str">
        <x:v>32</x:v>
      </x:c>
      <x:c r="E30" s="44" t="str">
        <x:v>Mở đề</x:v>
      </x:c>
      <x:c r="F30" s="39"/>
      <x:c r="G30" s="39"/>
      <x:c r="H30" s="39"/>
      <x:c r="I30" s="44" t="str">
        <x:v>Ghi ngày/phút</x:v>
      </x:c>
      <x:c r="J30" s="40" t="str">
        <x:f>IF(AND(ISBLANK(F30),ISBLANK(G30),ISBLANK(H30)),"",IF(NOT(ISNUMBER(F30)),"Lỗi đáp án",IF(OR(F30&lt;0,F30&gt;K30,MOD(F30,1)&lt;&gt;0),"Lỗi đáp án",IF(AND(LEN(H30)&gt;0,COUNTIF('Nhật ký'!$I$63:$I$69,H30)=0),"Lỗi mã",IF(AND(F30=0,G30="Bỏ trống"),"Đã chấm",IF(AND(F30&gt;0,OR(G30="Đúng",G30="Sai")),"Đã chấm",IF(ISBLANK(G30),"Chưa chấm","Kiểm tra bỏ trống")))))))</x:f>
      </x:c>
      <x:c r="K30" s="40" t="n">
        <x:v>4</x:v>
      </x:c>
      <x:c r="M30" t="str">
        <x:v>N4-V:32</x:v>
      </x:c>
      <x:c r="N30" t="n">
        <x:v>1</x:v>
      </x:c>
      <x:c r="O30" t="str">
        <x:v>N4answer.pdf p1</x:v>
      </x:c>
    </x:row>
    <x:row r="31" ht="25" customHeight="1">
      <x:c r="A31" s="2" t="str">
        <x:v>N4-R</x:v>
      </x:c>
      <x:c r="B31" s="2" t="str">
        <x:v>N4</x:v>
      </x:c>
      <x:c r="C31" s="2" t="str">
        <x:v>Đọc</x:v>
      </x:c>
      <x:c r="D31" s="2" t="str">
        <x:v>26</x:v>
      </x:c>
      <x:c r="E31" s="44" t="str">
        <x:v>Mở đề</x:v>
      </x:c>
      <x:c r="F31" s="39"/>
      <x:c r="G31" s="39"/>
      <x:c r="H31" s="39"/>
      <x:c r="I31" s="2"/>
      <x:c r="J31" s="40" t="str">
        <x:f>IF(AND(ISBLANK(F31),ISBLANK(G31),ISBLANK(H31)),"",IF(NOT(ISNUMBER(F31)),"Lỗi đáp án",IF(OR(F31&lt;0,F31&gt;K31,MOD(F31,1)&lt;&gt;0),"Lỗi đáp án",IF(AND(LEN(H31)&gt;0,COUNTIF('Nhật ký'!$I$63:$I$69,H31)=0),"Lỗi mã",IF(AND(F31=0,G31="Bỏ trống"),"Đã chấm",IF(AND(F31&gt;0,OR(G31="Đúng",G31="Sai")),"Đã chấm",IF(ISBLANK(G31),"Chưa chấm","Kiểm tra bỏ trống")))))))</x:f>
      </x:c>
      <x:c r="K31" s="40" t="n">
        <x:v>4</x:v>
      </x:c>
      <x:c r="M31" t="str">
        <x:v>N4-R:26</x:v>
      </x:c>
      <x:c r="N31" t="n">
        <x:v>4</x:v>
      </x:c>
      <x:c r="O31" t="str">
        <x:v>N4answer.pdf p2</x:v>
      </x:c>
    </x:row>
    <x:row r="32" ht="25" customHeight="1">
      <x:c r="A32" s="2" t="str">
        <x:v>N4-R</x:v>
      </x:c>
      <x:c r="B32" s="2" t="str">
        <x:v>N4</x:v>
      </x:c>
      <x:c r="C32" s="2" t="str">
        <x:v>Đọc</x:v>
      </x:c>
      <x:c r="D32" s="2" t="str">
        <x:v>30</x:v>
      </x:c>
      <x:c r="E32" s="44" t="str">
        <x:v>Mở đề</x:v>
      </x:c>
      <x:c r="F32" s="39"/>
      <x:c r="G32" s="39"/>
      <x:c r="H32" s="39"/>
      <x:c r="I32" s="2"/>
      <x:c r="J32" s="40" t="str">
        <x:f>IF(AND(ISBLANK(F32),ISBLANK(G32),ISBLANK(H32)),"",IF(NOT(ISNUMBER(F32)),"Lỗi đáp án",IF(OR(F32&lt;0,F32&gt;K32,MOD(F32,1)&lt;&gt;0),"Lỗi đáp án",IF(AND(LEN(H32)&gt;0,COUNTIF('Nhật ký'!$I$63:$I$69,H32)=0),"Lỗi mã",IF(AND(F32=0,G32="Bỏ trống"),"Đã chấm",IF(AND(F32&gt;0,OR(G32="Đúng",G32="Sai")),"Đã chấm",IF(ISBLANK(G32),"Chưa chấm","Kiểm tra bỏ trống")))))))</x:f>
      </x:c>
      <x:c r="K32" s="40" t="n">
        <x:v>4</x:v>
      </x:c>
      <x:c r="M32" t="str">
        <x:v>N4-R:30</x:v>
      </x:c>
      <x:c r="N32" t="n">
        <x:v>3</x:v>
      </x:c>
      <x:c r="O32" t="str">
        <x:v>N4answer.pdf p2</x:v>
      </x:c>
    </x:row>
    <x:row r="33" ht="25" customHeight="1">
      <x:c r="A33" s="2" t="str">
        <x:v>N4-R</x:v>
      </x:c>
      <x:c r="B33" s="2" t="str">
        <x:v>N4</x:v>
      </x:c>
      <x:c r="C33" s="2" t="str">
        <x:v>Đọc</x:v>
      </x:c>
      <x:c r="D33" s="2" t="str">
        <x:v>31</x:v>
      </x:c>
      <x:c r="E33" s="44" t="str">
        <x:v>Mở đề</x:v>
      </x:c>
      <x:c r="F33" s="39"/>
      <x:c r="G33" s="39"/>
      <x:c r="H33" s="39"/>
      <x:c r="I33" s="2"/>
      <x:c r="J33" s="40" t="str">
        <x:f>IF(AND(ISBLANK(F33),ISBLANK(G33),ISBLANK(H33)),"",IF(NOT(ISNUMBER(F33)),"Lỗi đáp án",IF(OR(F33&lt;0,F33&gt;K33,MOD(F33,1)&lt;&gt;0),"Lỗi đáp án",IF(AND(LEN(H33)&gt;0,COUNTIF('Nhật ký'!$I$63:$I$69,H33)=0),"Lỗi mã",IF(AND(F33=0,G33="Bỏ trống"),"Đã chấm",IF(AND(F33&gt;0,OR(G33="Đúng",G33="Sai")),"Đã chấm",IF(ISBLANK(G33),"Chưa chấm","Kiểm tra bỏ trống")))))))</x:f>
      </x:c>
      <x:c r="K33" s="40" t="n">
        <x:v>4</x:v>
      </x:c>
      <x:c r="M33" t="str">
        <x:v>N4-R:31</x:v>
      </x:c>
      <x:c r="N33" t="n">
        <x:v>1</x:v>
      </x:c>
      <x:c r="O33" t="str">
        <x:v>N4answer.pdf p2</x:v>
      </x:c>
    </x:row>
    <x:row r="34" ht="25" customHeight="1">
      <x:c r="A34" s="2" t="str">
        <x:v>N4-R</x:v>
      </x:c>
      <x:c r="B34" s="2" t="str">
        <x:v>N4</x:v>
      </x:c>
      <x:c r="C34" s="2" t="str">
        <x:v>Đọc</x:v>
      </x:c>
      <x:c r="D34" s="2" t="str">
        <x:v>32</x:v>
      </x:c>
      <x:c r="E34" s="44" t="str">
        <x:v>Mở đề</x:v>
      </x:c>
      <x:c r="F34" s="39"/>
      <x:c r="G34" s="39"/>
      <x:c r="H34" s="39"/>
      <x:c r="I34" s="2"/>
      <x:c r="J34" s="40" t="str">
        <x:f>IF(AND(ISBLANK(F34),ISBLANK(G34),ISBLANK(H34)),"",IF(NOT(ISNUMBER(F34)),"Lỗi đáp án",IF(OR(F34&lt;0,F34&gt;K34,MOD(F34,1)&lt;&gt;0),"Lỗi đáp án",IF(AND(LEN(H34)&gt;0,COUNTIF('Nhật ký'!$I$63:$I$69,H34)=0),"Lỗi mã",IF(AND(F34=0,G34="Bỏ trống"),"Đã chấm",IF(AND(F34&gt;0,OR(G34="Đúng",G34="Sai")),"Đã chấm",IF(ISBLANK(G34),"Chưa chấm","Kiểm tra bỏ trống")))))))</x:f>
      </x:c>
      <x:c r="K34" s="40" t="n">
        <x:v>4</x:v>
      </x:c>
      <x:c r="M34" t="str">
        <x:v>N4-R:32</x:v>
      </x:c>
      <x:c r="N34" t="n">
        <x:v>2</x:v>
      </x:c>
      <x:c r="O34" t="str">
        <x:v>N4answer.pdf p2</x:v>
      </x:c>
    </x:row>
    <x:row r="35" ht="25" customHeight="1">
      <x:c r="A35" s="2" t="str">
        <x:v>N4-R</x:v>
      </x:c>
      <x:c r="B35" s="2" t="str">
        <x:v>N4</x:v>
      </x:c>
      <x:c r="C35" s="2" t="str">
        <x:v>Đọc</x:v>
      </x:c>
      <x:c r="D35" s="2" t="str">
        <x:v>33</x:v>
      </x:c>
      <x:c r="E35" s="44" t="str">
        <x:v>Mở đề</x:v>
      </x:c>
      <x:c r="F35" s="39"/>
      <x:c r="G35" s="39"/>
      <x:c r="H35" s="39"/>
      <x:c r="I35" s="44" t="str">
        <x:v>Ghi ngày/phút</x:v>
      </x:c>
      <x:c r="J35" s="40" t="str">
        <x:f>IF(AND(ISBLANK(F35),ISBLANK(G35),ISBLANK(H35)),"",IF(NOT(ISNUMBER(F35)),"Lỗi đáp án",IF(OR(F35&lt;0,F35&gt;K35,MOD(F35,1)&lt;&gt;0),"Lỗi đáp án",IF(AND(LEN(H35)&gt;0,COUNTIF('Nhật ký'!$I$63:$I$69,H35)=0),"Lỗi mã",IF(AND(F35=0,G35="Bỏ trống"),"Đã chấm",IF(AND(F35&gt;0,OR(G35="Đúng",G35="Sai")),"Đã chấm",IF(ISBLANK(G35),"Chưa chấm","Kiểm tra bỏ trống")))))))</x:f>
      </x:c>
      <x:c r="K35" s="40" t="n">
        <x:v>4</x:v>
      </x:c>
      <x:c r="M35" t="str">
        <x:v>N4-R:33</x:v>
      </x:c>
      <x:c r="N35" t="n">
        <x:v>3</x:v>
      </x:c>
      <x:c r="O35" t="str">
        <x:v>N4answer.pdf p2</x:v>
      </x:c>
    </x:row>
    <x:row r="36" ht="25" customHeight="1">
      <x:c r="A36" s="2" t="str">
        <x:v>N4-L1</x:v>
      </x:c>
      <x:c r="B36" s="2" t="str">
        <x:v>N4</x:v>
      </x:c>
      <x:c r="C36" s="2" t="str">
        <x:v>Nghe</x:v>
      </x:c>
      <x:c r="D36" s="2" t="str">
        <x:v>M1-1</x:v>
      </x:c>
      <x:c r="E36" s="44" t="str">
        <x:v>Mở đề</x:v>
      </x:c>
      <x:c r="F36" s="39"/>
      <x:c r="G36" s="39"/>
      <x:c r="H36" s="39"/>
      <x:c r="I36" s="2"/>
      <x:c r="J36" s="40" t="str">
        <x:f>IF(AND(ISBLANK(F36),ISBLANK(G36),ISBLANK(H36)),"",IF(NOT(ISNUMBER(F36)),"Lỗi đáp án",IF(OR(F36&lt;0,F36&gt;K36,MOD(F36,1)&lt;&gt;0),"Lỗi đáp án",IF(AND(LEN(H36)&gt;0,COUNTIF('Nhật ký'!$I$63:$I$69,H36)=0),"Lỗi mã",IF(AND(F36=0,G36="Bỏ trống"),"Đã chấm",IF(AND(F36&gt;0,OR(G36="Đúng",G36="Sai")),"Đã chấm",IF(ISBLANK(G36),"Chưa chấm","Kiểm tra bỏ trống")))))))</x:f>
      </x:c>
      <x:c r="K36" s="40" t="n">
        <x:v>4</x:v>
      </x:c>
      <x:c r="M36" t="str">
        <x:v>N4-L1:M1-1</x:v>
      </x:c>
      <x:c r="N36" t="n">
        <x:v>1</x:v>
      </x:c>
      <x:c r="O36" t="str">
        <x:v>N4answer.pdf p2</x:v>
      </x:c>
    </x:row>
    <x:row r="37" ht="25" customHeight="1">
      <x:c r="A37" s="2" t="str">
        <x:v>N4-L1</x:v>
      </x:c>
      <x:c r="B37" s="2" t="str">
        <x:v>N4</x:v>
      </x:c>
      <x:c r="C37" s="2" t="str">
        <x:v>Nghe</x:v>
      </x:c>
      <x:c r="D37" s="2" t="str">
        <x:v>M1-2</x:v>
      </x:c>
      <x:c r="E37" s="44" t="str">
        <x:v>Mở đề</x:v>
      </x:c>
      <x:c r="F37" s="39"/>
      <x:c r="G37" s="39"/>
      <x:c r="H37" s="39"/>
      <x:c r="I37" s="2"/>
      <x:c r="J37" s="40" t="str">
        <x:f>IF(AND(ISBLANK(F37),ISBLANK(G37),ISBLANK(H37)),"",IF(NOT(ISNUMBER(F37)),"Lỗi đáp án",IF(OR(F37&lt;0,F37&gt;K37,MOD(F37,1)&lt;&gt;0),"Lỗi đáp án",IF(AND(LEN(H37)&gt;0,COUNTIF('Nhật ký'!$I$63:$I$69,H37)=0),"Lỗi mã",IF(AND(F37=0,G37="Bỏ trống"),"Đã chấm",IF(AND(F37&gt;0,OR(G37="Đúng",G37="Sai")),"Đã chấm",IF(ISBLANK(G37),"Chưa chấm","Kiểm tra bỏ trống")))))))</x:f>
      </x:c>
      <x:c r="K37" s="40" t="n">
        <x:v>4</x:v>
      </x:c>
      <x:c r="M37" t="str">
        <x:v>N4-L1:M1-2</x:v>
      </x:c>
      <x:c r="N37" t="n">
        <x:v>3</x:v>
      </x:c>
      <x:c r="O37" t="str">
        <x:v>N4answer.pdf p2</x:v>
      </x:c>
    </x:row>
    <x:row r="38" ht="25" customHeight="1">
      <x:c r="A38" s="2" t="str">
        <x:v>N4-L1</x:v>
      </x:c>
      <x:c r="B38" s="2" t="str">
        <x:v>N4</x:v>
      </x:c>
      <x:c r="C38" s="2" t="str">
        <x:v>Nghe</x:v>
      </x:c>
      <x:c r="D38" s="2" t="str">
        <x:v>M2-1</x:v>
      </x:c>
      <x:c r="E38" s="44" t="str">
        <x:v>Mở đề</x:v>
      </x:c>
      <x:c r="F38" s="39"/>
      <x:c r="G38" s="39"/>
      <x:c r="H38" s="39"/>
      <x:c r="I38" s="2"/>
      <x:c r="J38" s="40" t="str">
        <x:f>IF(AND(ISBLANK(F38),ISBLANK(G38),ISBLANK(H38)),"",IF(NOT(ISNUMBER(F38)),"Lỗi đáp án",IF(OR(F38&lt;0,F38&gt;K38,MOD(F38,1)&lt;&gt;0),"Lỗi đáp án",IF(AND(LEN(H38)&gt;0,COUNTIF('Nhật ký'!$I$63:$I$69,H38)=0),"Lỗi mã",IF(AND(F38=0,G38="Bỏ trống"),"Đã chấm",IF(AND(F38&gt;0,OR(G38="Đúng",G38="Sai")),"Đã chấm",IF(ISBLANK(G38),"Chưa chấm","Kiểm tra bỏ trống")))))))</x:f>
      </x:c>
      <x:c r="K38" s="40" t="n">
        <x:v>4</x:v>
      </x:c>
      <x:c r="M38" t="str">
        <x:v>N4-L1:M2-1</x:v>
      </x:c>
      <x:c r="N38" t="n">
        <x:v>1</x:v>
      </x:c>
      <x:c r="O38" t="str">
        <x:v>N4answer.pdf p2</x:v>
      </x:c>
    </x:row>
    <x:row r="39" ht="25" customHeight="1">
      <x:c r="A39" s="2" t="str">
        <x:v>N4-L1</x:v>
      </x:c>
      <x:c r="B39" s="2" t="str">
        <x:v>N4</x:v>
      </x:c>
      <x:c r="C39" s="2" t="str">
        <x:v>Nghe</x:v>
      </x:c>
      <x:c r="D39" s="2" t="str">
        <x:v>M2-2</x:v>
      </x:c>
      <x:c r="E39" s="44" t="str">
        <x:v>Mở đề</x:v>
      </x:c>
      <x:c r="F39" s="39"/>
      <x:c r="G39" s="39"/>
      <x:c r="H39" s="39"/>
      <x:c r="I39" s="44" t="str">
        <x:v>Ghi ngày/phút</x:v>
      </x:c>
      <x:c r="J39" s="40" t="str">
        <x:f>IF(AND(ISBLANK(F39),ISBLANK(G39),ISBLANK(H39)),"",IF(NOT(ISNUMBER(F39)),"Lỗi đáp án",IF(OR(F39&lt;0,F39&gt;K39,MOD(F39,1)&lt;&gt;0),"Lỗi đáp án",IF(AND(LEN(H39)&gt;0,COUNTIF('Nhật ký'!$I$63:$I$69,H39)=0),"Lỗi mã",IF(AND(F39=0,G39="Bỏ trống"),"Đã chấm",IF(AND(F39&gt;0,OR(G39="Đúng",G39="Sai")),"Đã chấm",IF(ISBLANK(G39),"Chưa chấm","Kiểm tra bỏ trống")))))))</x:f>
      </x:c>
      <x:c r="K39" s="40" t="n">
        <x:v>4</x:v>
      </x:c>
      <x:c r="M39" t="str">
        <x:v>N4-L1:M2-2</x:v>
      </x:c>
      <x:c r="N39" t="n">
        <x:v>2</x:v>
      </x:c>
      <x:c r="O39" t="str">
        <x:v>N4answer.pdf p2</x:v>
      </x:c>
    </x:row>
    <x:row r="40" ht="25" customHeight="1">
      <x:c r="A40" s="2" t="str">
        <x:v>N4-L2</x:v>
      </x:c>
      <x:c r="B40" s="2" t="str">
        <x:v>N4</x:v>
      </x:c>
      <x:c r="C40" s="2" t="str">
        <x:v>Nghe</x:v>
      </x:c>
      <x:c r="D40" s="2" t="str">
        <x:v>M3-1</x:v>
      </x:c>
      <x:c r="E40" s="44" t="str">
        <x:v>Mở đề</x:v>
      </x:c>
      <x:c r="F40" s="39"/>
      <x:c r="G40" s="39"/>
      <x:c r="H40" s="39"/>
      <x:c r="I40" s="2"/>
      <x:c r="J40" s="40" t="str">
        <x:f>IF(AND(ISBLANK(F40),ISBLANK(G40),ISBLANK(H40)),"",IF(NOT(ISNUMBER(F40)),"Lỗi đáp án",IF(OR(F40&lt;0,F40&gt;K40,MOD(F40,1)&lt;&gt;0),"Lỗi đáp án",IF(AND(LEN(H40)&gt;0,COUNTIF('Nhật ký'!$I$63:$I$69,H40)=0),"Lỗi mã",IF(AND(F40=0,G40="Bỏ trống"),"Đã chấm",IF(AND(F40&gt;0,OR(G40="Đúng",G40="Sai")),"Đã chấm",IF(ISBLANK(G40),"Chưa chấm","Kiểm tra bỏ trống")))))))</x:f>
      </x:c>
      <x:c r="K40" s="40" t="n">
        <x:v>3</x:v>
      </x:c>
      <x:c r="M40" t="str">
        <x:v>N4-L2:M3-1</x:v>
      </x:c>
      <x:c r="N40" t="n">
        <x:v>2</x:v>
      </x:c>
      <x:c r="O40" t="str">
        <x:v>N4answer.pdf p2</x:v>
      </x:c>
    </x:row>
    <x:row r="41" ht="25" customHeight="1">
      <x:c r="A41" s="2" t="str">
        <x:v>N4-L2</x:v>
      </x:c>
      <x:c r="B41" s="2" t="str">
        <x:v>N4</x:v>
      </x:c>
      <x:c r="C41" s="2" t="str">
        <x:v>Nghe</x:v>
      </x:c>
      <x:c r="D41" s="2" t="str">
        <x:v>M3-2</x:v>
      </x:c>
      <x:c r="E41" s="44" t="str">
        <x:v>Mở đề</x:v>
      </x:c>
      <x:c r="F41" s="39"/>
      <x:c r="G41" s="39"/>
      <x:c r="H41" s="39"/>
      <x:c r="I41" s="2"/>
      <x:c r="J41" s="40" t="str">
        <x:f>IF(AND(ISBLANK(F41),ISBLANK(G41),ISBLANK(H41)),"",IF(NOT(ISNUMBER(F41)),"Lỗi đáp án",IF(OR(F41&lt;0,F41&gt;K41,MOD(F41,1)&lt;&gt;0),"Lỗi đáp án",IF(AND(LEN(H41)&gt;0,COUNTIF('Nhật ký'!$I$63:$I$69,H41)=0),"Lỗi mã",IF(AND(F41=0,G41="Bỏ trống"),"Đã chấm",IF(AND(F41&gt;0,OR(G41="Đúng",G41="Sai")),"Đã chấm",IF(ISBLANK(G41),"Chưa chấm","Kiểm tra bỏ trống")))))))</x:f>
      </x:c>
      <x:c r="K41" s="40" t="n">
        <x:v>3</x:v>
      </x:c>
      <x:c r="M41" t="str">
        <x:v>N4-L2:M3-2</x:v>
      </x:c>
      <x:c r="N41" t="n">
        <x:v>2</x:v>
      </x:c>
      <x:c r="O41" t="str">
        <x:v>N4answer.pdf p2</x:v>
      </x:c>
    </x:row>
    <x:row r="42" ht="25" customHeight="1">
      <x:c r="A42" s="2" t="str">
        <x:v>N4-L2</x:v>
      </x:c>
      <x:c r="B42" s="2" t="str">
        <x:v>N4</x:v>
      </x:c>
      <x:c r="C42" s="2" t="str">
        <x:v>Nghe</x:v>
      </x:c>
      <x:c r="D42" s="2" t="str">
        <x:v>M4-1</x:v>
      </x:c>
      <x:c r="E42" s="44" t="str">
        <x:v>Mở đề</x:v>
      </x:c>
      <x:c r="F42" s="39"/>
      <x:c r="G42" s="39"/>
      <x:c r="H42" s="39"/>
      <x:c r="I42" s="2"/>
      <x:c r="J42" s="40" t="str">
        <x:f>IF(AND(ISBLANK(F42),ISBLANK(G42),ISBLANK(H42)),"",IF(NOT(ISNUMBER(F42)),"Lỗi đáp án",IF(OR(F42&lt;0,F42&gt;K42,MOD(F42,1)&lt;&gt;0),"Lỗi đáp án",IF(AND(LEN(H42)&gt;0,COUNTIF('Nhật ký'!$I$63:$I$69,H42)=0),"Lỗi mã",IF(AND(F42=0,G42="Bỏ trống"),"Đã chấm",IF(AND(F42&gt;0,OR(G42="Đúng",G42="Sai")),"Đã chấm",IF(ISBLANK(G42),"Chưa chấm","Kiểm tra bỏ trống")))))))</x:f>
      </x:c>
      <x:c r="K42" s="40" t="n">
        <x:v>3</x:v>
      </x:c>
      <x:c r="M42" t="str">
        <x:v>N4-L2:M4-1</x:v>
      </x:c>
      <x:c r="N42" t="n">
        <x:v>1</x:v>
      </x:c>
      <x:c r="O42" t="str">
        <x:v>N4answer.pdf p2</x:v>
      </x:c>
    </x:row>
    <x:row r="43" ht="25" customHeight="1">
      <x:c r="A43" s="2" t="str">
        <x:v>N4-L2</x:v>
      </x:c>
      <x:c r="B43" s="2" t="str">
        <x:v>N4</x:v>
      </x:c>
      <x:c r="C43" s="2" t="str">
        <x:v>Nghe</x:v>
      </x:c>
      <x:c r="D43" s="2" t="str">
        <x:v>M4-2</x:v>
      </x:c>
      <x:c r="E43" s="44" t="str">
        <x:v>Mở đề</x:v>
      </x:c>
      <x:c r="F43" s="39"/>
      <x:c r="G43" s="39"/>
      <x:c r="H43" s="39"/>
      <x:c r="I43" s="44" t="str">
        <x:v>Ghi ngày/phút</x:v>
      </x:c>
      <x:c r="J43" s="40" t="str">
        <x:f>IF(AND(ISBLANK(F43),ISBLANK(G43),ISBLANK(H43)),"",IF(NOT(ISNUMBER(F43)),"Lỗi đáp án",IF(OR(F43&lt;0,F43&gt;K43,MOD(F43,1)&lt;&gt;0),"Lỗi đáp án",IF(AND(LEN(H43)&gt;0,COUNTIF('Nhật ký'!$I$63:$I$69,H43)=0),"Lỗi mã",IF(AND(F43=0,G43="Bỏ trống"),"Đã chấm",IF(AND(F43&gt;0,OR(G43="Đúng",G43="Sai")),"Đã chấm",IF(ISBLANK(G43),"Chưa chấm","Kiểm tra bỏ trống")))))))</x:f>
      </x:c>
      <x:c r="K43" s="40" t="n">
        <x:v>3</x:v>
      </x:c>
      <x:c r="M43" t="str">
        <x:v>N4-L2:M4-2</x:v>
      </x:c>
      <x:c r="N43" t="n">
        <x:v>3</x:v>
      </x:c>
      <x:c r="O43" t="str">
        <x:v>N4answer.pdf p2</x:v>
      </x:c>
    </x:row>
    <x:row r="44" ht="25" customHeight="1">
      <x:c r="A44" s="2" t="str">
        <x:v>N3-G</x:v>
      </x:c>
      <x:c r="B44" s="2" t="str">
        <x:v>N3</x:v>
      </x:c>
      <x:c r="C44" s="2" t="str">
        <x:v>Ngữ pháp</x:v>
      </x:c>
      <x:c r="D44" s="2" t="str">
        <x:v>1</x:v>
      </x:c>
      <x:c r="E44" s="44" t="str">
        <x:v>Mở đề</x:v>
      </x:c>
      <x:c r="F44" s="39"/>
      <x:c r="G44" s="39"/>
      <x:c r="H44" s="39"/>
      <x:c r="I44" s="2"/>
      <x:c r="J44" s="40" t="str">
        <x:f>IF(AND(ISBLANK(F44),ISBLANK(G44),ISBLANK(H44)),"",IF(NOT(ISNUMBER(F44)),"Lỗi đáp án",IF(OR(F44&lt;0,F44&gt;K44,MOD(F44,1)&lt;&gt;0),"Lỗi đáp án",IF(AND(LEN(H44)&gt;0,COUNTIF('Nhật ký'!$I$63:$I$69,H44)=0),"Lỗi mã",IF(AND(F44=0,G44="Bỏ trống"),"Đã chấm",IF(AND(F44&gt;0,OR(G44="Đúng",G44="Sai")),"Đã chấm",IF(ISBLANK(G44),"Chưa chấm","Kiểm tra bỏ trống")))))))</x:f>
      </x:c>
      <x:c r="K44" s="40" t="n">
        <x:v>4</x:v>
      </x:c>
      <x:c r="M44" t="str">
        <x:v>N3-G:1</x:v>
      </x:c>
      <x:c r="N44" t="n">
        <x:v>2</x:v>
      </x:c>
      <x:c r="O44" t="str">
        <x:v>N3answer.pdf p1</x:v>
      </x:c>
    </x:row>
    <x:row r="45" ht="25" customHeight="1">
      <x:c r="A45" s="2" t="str">
        <x:v>N3-G</x:v>
      </x:c>
      <x:c r="B45" s="2" t="str">
        <x:v>N3</x:v>
      </x:c>
      <x:c r="C45" s="2" t="str">
        <x:v>Ngữ pháp</x:v>
      </x:c>
      <x:c r="D45" s="2" t="str">
        <x:v>2</x:v>
      </x:c>
      <x:c r="E45" s="44" t="str">
        <x:v>Mở đề</x:v>
      </x:c>
      <x:c r="F45" s="39"/>
      <x:c r="G45" s="39"/>
      <x:c r="H45" s="39"/>
      <x:c r="I45" s="2"/>
      <x:c r="J45" s="40" t="str">
        <x:f>IF(AND(ISBLANK(F45),ISBLANK(G45),ISBLANK(H45)),"",IF(NOT(ISNUMBER(F45)),"Lỗi đáp án",IF(OR(F45&lt;0,F45&gt;K45,MOD(F45,1)&lt;&gt;0),"Lỗi đáp án",IF(AND(LEN(H45)&gt;0,COUNTIF('Nhật ký'!$I$63:$I$69,H45)=0),"Lỗi mã",IF(AND(F45=0,G45="Bỏ trống"),"Đã chấm",IF(AND(F45&gt;0,OR(G45="Đúng",G45="Sai")),"Đã chấm",IF(ISBLANK(G45),"Chưa chấm","Kiểm tra bỏ trống")))))))</x:f>
      </x:c>
      <x:c r="K45" s="40" t="n">
        <x:v>4</x:v>
      </x:c>
      <x:c r="M45" t="str">
        <x:v>N3-G:2</x:v>
      </x:c>
      <x:c r="N45" t="n">
        <x:v>4</x:v>
      </x:c>
      <x:c r="O45" t="str">
        <x:v>N3answer.pdf p1</x:v>
      </x:c>
    </x:row>
    <x:row r="46" ht="25" customHeight="1">
      <x:c r="A46" s="2" t="str">
        <x:v>N3-G</x:v>
      </x:c>
      <x:c r="B46" s="2" t="str">
        <x:v>N3</x:v>
      </x:c>
      <x:c r="C46" s="2" t="str">
        <x:v>Ngữ pháp</x:v>
      </x:c>
      <x:c r="D46" s="2" t="str">
        <x:v>3</x:v>
      </x:c>
      <x:c r="E46" s="44" t="str">
        <x:v>Mở đề</x:v>
      </x:c>
      <x:c r="F46" s="39"/>
      <x:c r="G46" s="39"/>
      <x:c r="H46" s="39"/>
      <x:c r="I46" s="2"/>
      <x:c r="J46" s="40" t="str">
        <x:f>IF(AND(ISBLANK(F46),ISBLANK(G46),ISBLANK(H46)),"",IF(NOT(ISNUMBER(F46)),"Lỗi đáp án",IF(OR(F46&lt;0,F46&gt;K46,MOD(F46,1)&lt;&gt;0),"Lỗi đáp án",IF(AND(LEN(H46)&gt;0,COUNTIF('Nhật ký'!$I$63:$I$69,H46)=0),"Lỗi mã",IF(AND(F46=0,G46="Bỏ trống"),"Đã chấm",IF(AND(F46&gt;0,OR(G46="Đúng",G46="Sai")),"Đã chấm",IF(ISBLANK(G46),"Chưa chấm","Kiểm tra bỏ trống")))))))</x:f>
      </x:c>
      <x:c r="K46" s="40" t="n">
        <x:v>4</x:v>
      </x:c>
      <x:c r="M46" t="str">
        <x:v>N3-G:3</x:v>
      </x:c>
      <x:c r="N46" t="n">
        <x:v>3</x:v>
      </x:c>
      <x:c r="O46" t="str">
        <x:v>N3answer.pdf p1</x:v>
      </x:c>
    </x:row>
    <x:row r="47" ht="25" customHeight="1">
      <x:c r="A47" s="2" t="str">
        <x:v>N3-G</x:v>
      </x:c>
      <x:c r="B47" s="2" t="str">
        <x:v>N3</x:v>
      </x:c>
      <x:c r="C47" s="2" t="str">
        <x:v>Ngữ pháp</x:v>
      </x:c>
      <x:c r="D47" s="2" t="str">
        <x:v>4</x:v>
      </x:c>
      <x:c r="E47" s="44" t="str">
        <x:v>Mở đề</x:v>
      </x:c>
      <x:c r="F47" s="39"/>
      <x:c r="G47" s="39"/>
      <x:c r="H47" s="39"/>
      <x:c r="I47" s="2"/>
      <x:c r="J47" s="40" t="str">
        <x:f>IF(AND(ISBLANK(F47),ISBLANK(G47),ISBLANK(H47)),"",IF(NOT(ISNUMBER(F47)),"Lỗi đáp án",IF(OR(F47&lt;0,F47&gt;K47,MOD(F47,1)&lt;&gt;0),"Lỗi đáp án",IF(AND(LEN(H47)&gt;0,COUNTIF('Nhật ký'!$I$63:$I$69,H47)=0),"Lỗi mã",IF(AND(F47=0,G47="Bỏ trống"),"Đã chấm",IF(AND(F47&gt;0,OR(G47="Đúng",G47="Sai")),"Đã chấm",IF(ISBLANK(G47),"Chưa chấm","Kiểm tra bỏ trống")))))))</x:f>
      </x:c>
      <x:c r="K47" s="40" t="n">
        <x:v>4</x:v>
      </x:c>
      <x:c r="M47" t="str">
        <x:v>N3-G:4</x:v>
      </x:c>
      <x:c r="N47" t="n">
        <x:v>1</x:v>
      </x:c>
      <x:c r="O47" t="str">
        <x:v>N3answer.pdf p1</x:v>
      </x:c>
    </x:row>
    <x:row r="48" ht="25" customHeight="1">
      <x:c r="A48" s="2" t="str">
        <x:v>N3-G</x:v>
      </x:c>
      <x:c r="B48" s="2" t="str">
        <x:v>N3</x:v>
      </x:c>
      <x:c r="C48" s="2" t="str">
        <x:v>Ngữ pháp</x:v>
      </x:c>
      <x:c r="D48" s="2" t="str">
        <x:v>14</x:v>
      </x:c>
      <x:c r="E48" s="44" t="str">
        <x:v>Mở đề</x:v>
      </x:c>
      <x:c r="F48" s="39"/>
      <x:c r="G48" s="39"/>
      <x:c r="H48" s="39"/>
      <x:c r="I48" s="2"/>
      <x:c r="J48" s="40" t="str">
        <x:f>IF(AND(ISBLANK(F48),ISBLANK(G48),ISBLANK(H48)),"",IF(NOT(ISNUMBER(F48)),"Lỗi đáp án",IF(OR(F48&lt;0,F48&gt;K48,MOD(F48,1)&lt;&gt;0),"Lỗi đáp án",IF(AND(LEN(H48)&gt;0,COUNTIF('Nhật ký'!$I$63:$I$69,H48)=0),"Lỗi mã",IF(AND(F48=0,G48="Bỏ trống"),"Đã chấm",IF(AND(F48&gt;0,OR(G48="Đúng",G48="Sai")),"Đã chấm",IF(ISBLANK(G48),"Chưa chấm","Kiểm tra bỏ trống")))))))</x:f>
      </x:c>
      <x:c r="K48" s="40" t="n">
        <x:v>4</x:v>
      </x:c>
      <x:c r="M48" t="str">
        <x:v>N3-G:14</x:v>
      </x:c>
      <x:c r="N48" t="n">
        <x:v>2</x:v>
      </x:c>
      <x:c r="O48" t="str">
        <x:v>N3answer.pdf p1</x:v>
      </x:c>
    </x:row>
    <x:row r="49" ht="25" customHeight="1">
      <x:c r="A49" s="2" t="str">
        <x:v>N3-G</x:v>
      </x:c>
      <x:c r="B49" s="2" t="str">
        <x:v>N3</x:v>
      </x:c>
      <x:c r="C49" s="2" t="str">
        <x:v>Ngữ pháp</x:v>
      </x:c>
      <x:c r="D49" s="2" t="str">
        <x:v>15</x:v>
      </x:c>
      <x:c r="E49" s="44" t="str">
        <x:v>Mở đề</x:v>
      </x:c>
      <x:c r="F49" s="39"/>
      <x:c r="G49" s="39"/>
      <x:c r="H49" s="39"/>
      <x:c r="I49" s="44" t="str">
        <x:v>Ghi ngày/phút</x:v>
      </x:c>
      <x:c r="J49" s="40" t="str">
        <x:f>IF(AND(ISBLANK(F49),ISBLANK(G49),ISBLANK(H49)),"",IF(NOT(ISNUMBER(F49)),"Lỗi đáp án",IF(OR(F49&lt;0,F49&gt;K49,MOD(F49,1)&lt;&gt;0),"Lỗi đáp án",IF(AND(LEN(H49)&gt;0,COUNTIF('Nhật ký'!$I$63:$I$69,H49)=0),"Lỗi mã",IF(AND(F49=0,G49="Bỏ trống"),"Đã chấm",IF(AND(F49&gt;0,OR(G49="Đúng",G49="Sai")),"Đã chấm",IF(ISBLANK(G49),"Chưa chấm","Kiểm tra bỏ trống")))))))</x:f>
      </x:c>
      <x:c r="K49" s="40" t="n">
        <x:v>4</x:v>
      </x:c>
      <x:c r="M49" t="str">
        <x:v>N3-G:15</x:v>
      </x:c>
      <x:c r="N49" t="n">
        <x:v>4</x:v>
      </x:c>
      <x:c r="O49" t="str">
        <x:v>N3answer.pdf p1</x:v>
      </x:c>
    </x:row>
    <x:row r="50" ht="25" customHeight="1">
      <x:c r="A50" s="2" t="str">
        <x:v>N3-V</x:v>
      </x:c>
      <x:c r="B50" s="2" t="str">
        <x:v>N3</x:v>
      </x:c>
      <x:c r="C50" s="2" t="str">
        <x:v>Từ và kanji</x:v>
      </x:c>
      <x:c r="D50" s="2" t="str">
        <x:v>1</x:v>
      </x:c>
      <x:c r="E50" s="44" t="str">
        <x:v>Mở đề</x:v>
      </x:c>
      <x:c r="F50" s="39"/>
      <x:c r="G50" s="39"/>
      <x:c r="H50" s="39"/>
      <x:c r="I50" s="2"/>
      <x:c r="J50" s="40" t="str">
        <x:f>IF(AND(ISBLANK(F50),ISBLANK(G50),ISBLANK(H50)),"",IF(NOT(ISNUMBER(F50)),"Lỗi đáp án",IF(OR(F50&lt;0,F50&gt;K50,MOD(F50,1)&lt;&gt;0),"Lỗi đáp án",IF(AND(LEN(H50)&gt;0,COUNTIF('Nhật ký'!$I$63:$I$69,H50)=0),"Lỗi mã",IF(AND(F50=0,G50="Bỏ trống"),"Đã chấm",IF(AND(F50&gt;0,OR(G50="Đúng",G50="Sai")),"Đã chấm",IF(ISBLANK(G50),"Chưa chấm","Kiểm tra bỏ trống")))))))</x:f>
      </x:c>
      <x:c r="K50" s="40" t="n">
        <x:v>4</x:v>
      </x:c>
      <x:c r="M50" t="str">
        <x:v>N3-V:1</x:v>
      </x:c>
      <x:c r="N50" t="n">
        <x:v>4</x:v>
      </x:c>
      <x:c r="O50" t="str">
        <x:v>N3answer.pdf p1</x:v>
      </x:c>
    </x:row>
    <x:row r="51" ht="25" customHeight="1">
      <x:c r="A51" s="2" t="str">
        <x:v>N3-V</x:v>
      </x:c>
      <x:c r="B51" s="2" t="str">
        <x:v>N3</x:v>
      </x:c>
      <x:c r="C51" s="2" t="str">
        <x:v>Từ và kanji</x:v>
      </x:c>
      <x:c r="D51" s="2" t="str">
        <x:v>2</x:v>
      </x:c>
      <x:c r="E51" s="44" t="str">
        <x:v>Mở đề</x:v>
      </x:c>
      <x:c r="F51" s="39"/>
      <x:c r="G51" s="39"/>
      <x:c r="H51" s="39"/>
      <x:c r="I51" s="2"/>
      <x:c r="J51" s="40" t="str">
        <x:f>IF(AND(ISBLANK(F51),ISBLANK(G51),ISBLANK(H51)),"",IF(NOT(ISNUMBER(F51)),"Lỗi đáp án",IF(OR(F51&lt;0,F51&gt;K51,MOD(F51,1)&lt;&gt;0),"Lỗi đáp án",IF(AND(LEN(H51)&gt;0,COUNTIF('Nhật ký'!$I$63:$I$69,H51)=0),"Lỗi mã",IF(AND(F51=0,G51="Bỏ trống"),"Đã chấm",IF(AND(F51&gt;0,OR(G51="Đúng",G51="Sai")),"Đã chấm",IF(ISBLANK(G51),"Chưa chấm","Kiểm tra bỏ trống")))))))</x:f>
      </x:c>
      <x:c r="K51" s="40" t="n">
        <x:v>4</x:v>
      </x:c>
      <x:c r="M51" t="str">
        <x:v>N3-V:2</x:v>
      </x:c>
      <x:c r="N51" t="n">
        <x:v>2</x:v>
      </x:c>
      <x:c r="O51" t="str">
        <x:v>N3answer.pdf p1</x:v>
      </x:c>
    </x:row>
    <x:row r="52" ht="25" customHeight="1">
      <x:c r="A52" s="2" t="str">
        <x:v>N3-V</x:v>
      </x:c>
      <x:c r="B52" s="2" t="str">
        <x:v>N3</x:v>
      </x:c>
      <x:c r="C52" s="2" t="str">
        <x:v>Từ và kanji</x:v>
      </x:c>
      <x:c r="D52" s="2" t="str">
        <x:v>9</x:v>
      </x:c>
      <x:c r="E52" s="44" t="str">
        <x:v>Mở đề</x:v>
      </x:c>
      <x:c r="F52" s="39"/>
      <x:c r="G52" s="39"/>
      <x:c r="H52" s="39"/>
      <x:c r="I52" s="2"/>
      <x:c r="J52" s="40" t="str">
        <x:f>IF(AND(ISBLANK(F52),ISBLANK(G52),ISBLANK(H52)),"",IF(NOT(ISNUMBER(F52)),"Lỗi đáp án",IF(OR(F52&lt;0,F52&gt;K52,MOD(F52,1)&lt;&gt;0),"Lỗi đáp án",IF(AND(LEN(H52)&gt;0,COUNTIF('Nhật ký'!$I$63:$I$69,H52)=0),"Lỗi mã",IF(AND(F52=0,G52="Bỏ trống"),"Đã chấm",IF(AND(F52&gt;0,OR(G52="Đúng",G52="Sai")),"Đã chấm",IF(ISBLANK(G52),"Chưa chấm","Kiểm tra bỏ trống")))))))</x:f>
      </x:c>
      <x:c r="K52" s="40" t="n">
        <x:v>4</x:v>
      </x:c>
      <x:c r="M52" t="str">
        <x:v>N3-V:9</x:v>
      </x:c>
      <x:c r="N52" t="n">
        <x:v>4</x:v>
      </x:c>
      <x:c r="O52" t="str">
        <x:v>N3answer.pdf p1</x:v>
      </x:c>
    </x:row>
    <x:row r="53" ht="25" customHeight="1">
      <x:c r="A53" s="2" t="str">
        <x:v>N3-V</x:v>
      </x:c>
      <x:c r="B53" s="2" t="str">
        <x:v>N3</x:v>
      </x:c>
      <x:c r="C53" s="2" t="str">
        <x:v>Từ và kanji</x:v>
      </x:c>
      <x:c r="D53" s="2" t="str">
        <x:v>10</x:v>
      </x:c>
      <x:c r="E53" s="44" t="str">
        <x:v>Mở đề</x:v>
      </x:c>
      <x:c r="F53" s="39"/>
      <x:c r="G53" s="39"/>
      <x:c r="H53" s="39"/>
      <x:c r="I53" s="2"/>
      <x:c r="J53" s="40" t="str">
        <x:f>IF(AND(ISBLANK(F53),ISBLANK(G53),ISBLANK(H53)),"",IF(NOT(ISNUMBER(F53)),"Lỗi đáp án",IF(OR(F53&lt;0,F53&gt;K53,MOD(F53,1)&lt;&gt;0),"Lỗi đáp án",IF(AND(LEN(H53)&gt;0,COUNTIF('Nhật ký'!$I$63:$I$69,H53)=0),"Lỗi mã",IF(AND(F53=0,G53="Bỏ trống"),"Đã chấm",IF(AND(F53&gt;0,OR(G53="Đúng",G53="Sai")),"Đã chấm",IF(ISBLANK(G53),"Chưa chấm","Kiểm tra bỏ trống")))))))</x:f>
      </x:c>
      <x:c r="K53" s="40" t="n">
        <x:v>4</x:v>
      </x:c>
      <x:c r="M53" t="str">
        <x:v>N3-V:10</x:v>
      </x:c>
      <x:c r="N53" t="n">
        <x:v>3</x:v>
      </x:c>
      <x:c r="O53" t="str">
        <x:v>N3answer.pdf p1</x:v>
      </x:c>
    </x:row>
    <x:row r="54" ht="25" customHeight="1">
      <x:c r="A54" s="2" t="str">
        <x:v>N3-V</x:v>
      </x:c>
      <x:c r="B54" s="2" t="str">
        <x:v>N3</x:v>
      </x:c>
      <x:c r="C54" s="2" t="str">
        <x:v>Từ và kanji</x:v>
      </x:c>
      <x:c r="D54" s="2" t="str">
        <x:v>15</x:v>
      </x:c>
      <x:c r="E54" s="44" t="str">
        <x:v>Mở đề</x:v>
      </x:c>
      <x:c r="F54" s="39"/>
      <x:c r="G54" s="39"/>
      <x:c r="H54" s="39"/>
      <x:c r="I54" s="2"/>
      <x:c r="J54" s="40" t="str">
        <x:f>IF(AND(ISBLANK(F54),ISBLANK(G54),ISBLANK(H54)),"",IF(NOT(ISNUMBER(F54)),"Lỗi đáp án",IF(OR(F54&lt;0,F54&gt;K54,MOD(F54,1)&lt;&gt;0),"Lỗi đáp án",IF(AND(LEN(H54)&gt;0,COUNTIF('Nhật ký'!$I$63:$I$69,H54)=0),"Lỗi mã",IF(AND(F54=0,G54="Bỏ trống"),"Đã chấm",IF(AND(F54&gt;0,OR(G54="Đúng",G54="Sai")),"Đã chấm",IF(ISBLANK(G54),"Chưa chấm","Kiểm tra bỏ trống")))))))</x:f>
      </x:c>
      <x:c r="K54" s="40" t="n">
        <x:v>4</x:v>
      </x:c>
      <x:c r="M54" t="str">
        <x:v>N3-V:15</x:v>
      </x:c>
      <x:c r="N54" t="n">
        <x:v>2</x:v>
      </x:c>
      <x:c r="O54" t="str">
        <x:v>N3answer.pdf p1</x:v>
      </x:c>
    </x:row>
    <x:row r="55" ht="25" customHeight="1">
      <x:c r="A55" s="2" t="str">
        <x:v>N3-V</x:v>
      </x:c>
      <x:c r="B55" s="2" t="str">
        <x:v>N3</x:v>
      </x:c>
      <x:c r="C55" s="2" t="str">
        <x:v>Từ và kanji</x:v>
      </x:c>
      <x:c r="D55" s="2" t="str">
        <x:v>16</x:v>
      </x:c>
      <x:c r="E55" s="44" t="str">
        <x:v>Mở đề</x:v>
      </x:c>
      <x:c r="F55" s="39"/>
      <x:c r="G55" s="39"/>
      <x:c r="H55" s="39"/>
      <x:c r="I55" s="2"/>
      <x:c r="J55" s="40" t="str">
        <x:f>IF(AND(ISBLANK(F55),ISBLANK(G55),ISBLANK(H55)),"",IF(NOT(ISNUMBER(F55)),"Lỗi đáp án",IF(OR(F55&lt;0,F55&gt;K55,MOD(F55,1)&lt;&gt;0),"Lỗi đáp án",IF(AND(LEN(H55)&gt;0,COUNTIF('Nhật ký'!$I$63:$I$69,H55)=0),"Lỗi mã",IF(AND(F55=0,G55="Bỏ trống"),"Đã chấm",IF(AND(F55&gt;0,OR(G55="Đúng",G55="Sai")),"Đã chấm",IF(ISBLANK(G55),"Chưa chấm","Kiểm tra bỏ trống")))))))</x:f>
      </x:c>
      <x:c r="K55" s="40" t="n">
        <x:v>4</x:v>
      </x:c>
      <x:c r="M55" t="str">
        <x:v>N3-V:16</x:v>
      </x:c>
      <x:c r="N55" t="n">
        <x:v>4</x:v>
      </x:c>
      <x:c r="O55" t="str">
        <x:v>N3answer.pdf p1</x:v>
      </x:c>
    </x:row>
    <x:row r="56" ht="25" customHeight="1">
      <x:c r="A56" s="2" t="str">
        <x:v>N3-V</x:v>
      </x:c>
      <x:c r="B56" s="2" t="str">
        <x:v>N3</x:v>
      </x:c>
      <x:c r="C56" s="2" t="str">
        <x:v>Từ và kanji</x:v>
      </x:c>
      <x:c r="D56" s="2" t="str">
        <x:v>26</x:v>
      </x:c>
      <x:c r="E56" s="44" t="str">
        <x:v>Mở đề</x:v>
      </x:c>
      <x:c r="F56" s="39"/>
      <x:c r="G56" s="39"/>
      <x:c r="H56" s="39"/>
      <x:c r="I56" s="2"/>
      <x:c r="J56" s="40" t="str">
        <x:f>IF(AND(ISBLANK(F56),ISBLANK(G56),ISBLANK(H56)),"",IF(NOT(ISNUMBER(F56)),"Lỗi đáp án",IF(OR(F56&lt;0,F56&gt;K56,MOD(F56,1)&lt;&gt;0),"Lỗi đáp án",IF(AND(LEN(H56)&gt;0,COUNTIF('Nhật ký'!$I$63:$I$69,H56)=0),"Lỗi mã",IF(AND(F56=0,G56="Bỏ trống"),"Đã chấm",IF(AND(F56&gt;0,OR(G56="Đúng",G56="Sai")),"Đã chấm",IF(ISBLANK(G56),"Chưa chấm","Kiểm tra bỏ trống")))))))</x:f>
      </x:c>
      <x:c r="K56" s="40" t="n">
        <x:v>4</x:v>
      </x:c>
      <x:c r="M56" t="str">
        <x:v>N3-V:26</x:v>
      </x:c>
      <x:c r="N56" t="n">
        <x:v>4</x:v>
      </x:c>
      <x:c r="O56" t="str">
        <x:v>N3answer.pdf p1</x:v>
      </x:c>
    </x:row>
    <x:row r="57" ht="25" customHeight="1">
      <x:c r="A57" s="2" t="str">
        <x:v>N3-V</x:v>
      </x:c>
      <x:c r="B57" s="2" t="str">
        <x:v>N3</x:v>
      </x:c>
      <x:c r="C57" s="2" t="str">
        <x:v>Từ và kanji</x:v>
      </x:c>
      <x:c r="D57" s="2" t="str">
        <x:v>27</x:v>
      </x:c>
      <x:c r="E57" s="44" t="str">
        <x:v>Mở đề</x:v>
      </x:c>
      <x:c r="F57" s="39"/>
      <x:c r="G57" s="39"/>
      <x:c r="H57" s="39"/>
      <x:c r="I57" s="2"/>
      <x:c r="J57" s="40" t="str">
        <x:f>IF(AND(ISBLANK(F57),ISBLANK(G57),ISBLANK(H57)),"",IF(NOT(ISNUMBER(F57)),"Lỗi đáp án",IF(OR(F57&lt;0,F57&gt;K57,MOD(F57,1)&lt;&gt;0),"Lỗi đáp án",IF(AND(LEN(H57)&gt;0,COUNTIF('Nhật ký'!$I$63:$I$69,H57)=0),"Lỗi mã",IF(AND(F57=0,G57="Bỏ trống"),"Đã chấm",IF(AND(F57&gt;0,OR(G57="Đúng",G57="Sai")),"Đã chấm",IF(ISBLANK(G57),"Chưa chấm","Kiểm tra bỏ trống")))))))</x:f>
      </x:c>
      <x:c r="K57" s="40" t="n">
        <x:v>4</x:v>
      </x:c>
      <x:c r="M57" t="str">
        <x:v>N3-V:27</x:v>
      </x:c>
      <x:c r="N57" t="n">
        <x:v>1</x:v>
      </x:c>
      <x:c r="O57" t="str">
        <x:v>N3answer.pdf p1</x:v>
      </x:c>
    </x:row>
    <x:row r="58" ht="25" customHeight="1">
      <x:c r="A58" s="2" t="str">
        <x:v>N3-V</x:v>
      </x:c>
      <x:c r="B58" s="2" t="str">
        <x:v>N3</x:v>
      </x:c>
      <x:c r="C58" s="2" t="str">
        <x:v>Từ và kanji</x:v>
      </x:c>
      <x:c r="D58" s="2" t="str">
        <x:v>31</x:v>
      </x:c>
      <x:c r="E58" s="44" t="str">
        <x:v>Mở đề</x:v>
      </x:c>
      <x:c r="F58" s="39"/>
      <x:c r="G58" s="39"/>
      <x:c r="H58" s="39"/>
      <x:c r="I58" s="2"/>
      <x:c r="J58" s="40" t="str">
        <x:f>IF(AND(ISBLANK(F58),ISBLANK(G58),ISBLANK(H58)),"",IF(NOT(ISNUMBER(F58)),"Lỗi đáp án",IF(OR(F58&lt;0,F58&gt;K58,MOD(F58,1)&lt;&gt;0),"Lỗi đáp án",IF(AND(LEN(H58)&gt;0,COUNTIF('Nhật ký'!$I$63:$I$69,H58)=0),"Lỗi mã",IF(AND(F58=0,G58="Bỏ trống"),"Đã chấm",IF(AND(F58&gt;0,OR(G58="Đúng",G58="Sai")),"Đã chấm",IF(ISBLANK(G58),"Chưa chấm","Kiểm tra bỏ trống")))))))</x:f>
      </x:c>
      <x:c r="K58" s="40" t="n">
        <x:v>4</x:v>
      </x:c>
      <x:c r="M58" t="str">
        <x:v>N3-V:31</x:v>
      </x:c>
      <x:c r="N58" t="n">
        <x:v>3</x:v>
      </x:c>
      <x:c r="O58" t="str">
        <x:v>N3answer.pdf p1</x:v>
      </x:c>
    </x:row>
    <x:row r="59" ht="25" customHeight="1">
      <x:c r="A59" s="2" t="str">
        <x:v>N3-V</x:v>
      </x:c>
      <x:c r="B59" s="2" t="str">
        <x:v>N3</x:v>
      </x:c>
      <x:c r="C59" s="2" t="str">
        <x:v>Từ và kanji</x:v>
      </x:c>
      <x:c r="D59" s="2" t="str">
        <x:v>32</x:v>
      </x:c>
      <x:c r="E59" s="44" t="str">
        <x:v>Mở đề</x:v>
      </x:c>
      <x:c r="F59" s="39"/>
      <x:c r="G59" s="39"/>
      <x:c r="H59" s="39"/>
      <x:c r="I59" s="44" t="str">
        <x:v>Ghi ngày/phút</x:v>
      </x:c>
      <x:c r="J59" s="40" t="str">
        <x:f>IF(AND(ISBLANK(F59),ISBLANK(G59),ISBLANK(H59)),"",IF(NOT(ISNUMBER(F59)),"Lỗi đáp án",IF(OR(F59&lt;0,F59&gt;K59,MOD(F59,1)&lt;&gt;0),"Lỗi đáp án",IF(AND(LEN(H59)&gt;0,COUNTIF('Nhật ký'!$I$63:$I$69,H59)=0),"Lỗi mã",IF(AND(F59=0,G59="Bỏ trống"),"Đã chấm",IF(AND(F59&gt;0,OR(G59="Đúng",G59="Sai")),"Đã chấm",IF(ISBLANK(G59),"Chưa chấm","Kiểm tra bỏ trống")))))))</x:f>
      </x:c>
      <x:c r="K59" s="40" t="n">
        <x:v>4</x:v>
      </x:c>
      <x:c r="M59" t="str">
        <x:v>N3-V:32</x:v>
      </x:c>
      <x:c r="N59" t="n">
        <x:v>2</x:v>
      </x:c>
      <x:c r="O59" t="str">
        <x:v>N3answer.pdf p1</x:v>
      </x:c>
    </x:row>
    <x:row r="60" ht="25" customHeight="1">
      <x:c r="A60" s="2" t="str">
        <x:v>N3-R</x:v>
      </x:c>
      <x:c r="B60" s="2" t="str">
        <x:v>N3</x:v>
      </x:c>
      <x:c r="C60" s="2" t="str">
        <x:v>Đọc</x:v>
      </x:c>
      <x:c r="D60" s="2" t="str">
        <x:v>24</x:v>
      </x:c>
      <x:c r="E60" s="44" t="str">
        <x:v>Mở đề</x:v>
      </x:c>
      <x:c r="F60" s="39"/>
      <x:c r="G60" s="39"/>
      <x:c r="H60" s="39"/>
      <x:c r="I60" s="2"/>
      <x:c r="J60" s="40" t="str">
        <x:f>IF(AND(ISBLANK(F60),ISBLANK(G60),ISBLANK(H60)),"",IF(NOT(ISNUMBER(F60)),"Lỗi đáp án",IF(OR(F60&lt;0,F60&gt;K60,MOD(F60,1)&lt;&gt;0),"Lỗi đáp án",IF(AND(LEN(H60)&gt;0,COUNTIF('Nhật ký'!$I$63:$I$69,H60)=0),"Lỗi mã",IF(AND(F60=0,G60="Bỏ trống"),"Đã chấm",IF(AND(F60&gt;0,OR(G60="Đúng",G60="Sai")),"Đã chấm",IF(ISBLANK(G60),"Chưa chấm","Kiểm tra bỏ trống")))))))</x:f>
      </x:c>
      <x:c r="K60" s="40" t="n">
        <x:v>4</x:v>
      </x:c>
      <x:c r="M60" t="str">
        <x:v>N3-R:24</x:v>
      </x:c>
      <x:c r="N60" t="n">
        <x:v>3</x:v>
      </x:c>
      <x:c r="O60" t="str">
        <x:v>N3answer.pdf p2</x:v>
      </x:c>
    </x:row>
    <x:row r="61" ht="25" customHeight="1">
      <x:c r="A61" s="2" t="str">
        <x:v>N3-R</x:v>
      </x:c>
      <x:c r="B61" s="2" t="str">
        <x:v>N3</x:v>
      </x:c>
      <x:c r="C61" s="2" t="str">
        <x:v>Đọc</x:v>
      </x:c>
      <x:c r="D61" s="2" t="str">
        <x:v>28</x:v>
      </x:c>
      <x:c r="E61" s="44" t="str">
        <x:v>Mở đề</x:v>
      </x:c>
      <x:c r="F61" s="39"/>
      <x:c r="G61" s="39"/>
      <x:c r="H61" s="39"/>
      <x:c r="I61" s="2"/>
      <x:c r="J61" s="40" t="str">
        <x:f>IF(AND(ISBLANK(F61),ISBLANK(G61),ISBLANK(H61)),"",IF(NOT(ISNUMBER(F61)),"Lỗi đáp án",IF(OR(F61&lt;0,F61&gt;K61,MOD(F61,1)&lt;&gt;0),"Lỗi đáp án",IF(AND(LEN(H61)&gt;0,COUNTIF('Nhật ký'!$I$63:$I$69,H61)=0),"Lỗi mã",IF(AND(F61=0,G61="Bỏ trống"),"Đã chấm",IF(AND(F61&gt;0,OR(G61="Đúng",G61="Sai")),"Đã chấm",IF(ISBLANK(G61),"Chưa chấm","Kiểm tra bỏ trống")))))))</x:f>
      </x:c>
      <x:c r="K61" s="40" t="n">
        <x:v>4</x:v>
      </x:c>
      <x:c r="M61" t="str">
        <x:v>N3-R:28</x:v>
      </x:c>
      <x:c r="N61" t="n">
        <x:v>2</x:v>
      </x:c>
      <x:c r="O61" t="str">
        <x:v>N3answer.pdf p2</x:v>
      </x:c>
    </x:row>
    <x:row r="62" ht="25" customHeight="1">
      <x:c r="A62" s="2" t="str">
        <x:v>N3-R</x:v>
      </x:c>
      <x:c r="B62" s="2" t="str">
        <x:v>N3</x:v>
      </x:c>
      <x:c r="C62" s="2" t="str">
        <x:v>Đọc</x:v>
      </x:c>
      <x:c r="D62" s="2" t="str">
        <x:v>29</x:v>
      </x:c>
      <x:c r="E62" s="44" t="str">
        <x:v>Mở đề</x:v>
      </x:c>
      <x:c r="F62" s="39"/>
      <x:c r="G62" s="39"/>
      <x:c r="H62" s="39"/>
      <x:c r="I62" s="2"/>
      <x:c r="J62" s="40" t="str">
        <x:f>IF(AND(ISBLANK(F62),ISBLANK(G62),ISBLANK(H62)),"",IF(NOT(ISNUMBER(F62)),"Lỗi đáp án",IF(OR(F62&lt;0,F62&gt;K62,MOD(F62,1)&lt;&gt;0),"Lỗi đáp án",IF(AND(LEN(H62)&gt;0,COUNTIF('Nhật ký'!$I$63:$I$69,H62)=0),"Lỗi mã",IF(AND(F62=0,G62="Bỏ trống"),"Đã chấm",IF(AND(F62&gt;0,OR(G62="Đúng",G62="Sai")),"Đã chấm",IF(ISBLANK(G62),"Chưa chấm","Kiểm tra bỏ trống")))))))</x:f>
      </x:c>
      <x:c r="K62" s="40" t="n">
        <x:v>4</x:v>
      </x:c>
      <x:c r="M62" t="str">
        <x:v>N3-R:29</x:v>
      </x:c>
      <x:c r="N62" t="n">
        <x:v>3</x:v>
      </x:c>
      <x:c r="O62" t="str">
        <x:v>N3answer.pdf p2</x:v>
      </x:c>
    </x:row>
    <x:row r="63" ht="25" customHeight="1">
      <x:c r="A63" s="2" t="str">
        <x:v>N3-R</x:v>
      </x:c>
      <x:c r="B63" s="2" t="str">
        <x:v>N3</x:v>
      </x:c>
      <x:c r="C63" s="2" t="str">
        <x:v>Đọc</x:v>
      </x:c>
      <x:c r="D63" s="2" t="str">
        <x:v>30</x:v>
      </x:c>
      <x:c r="E63" s="44" t="str">
        <x:v>Mở đề</x:v>
      </x:c>
      <x:c r="F63" s="39"/>
      <x:c r="G63" s="39"/>
      <x:c r="H63" s="39"/>
      <x:c r="I63" s="44" t="str">
        <x:v>Ghi ngày/phút</x:v>
      </x:c>
      <x:c r="J63" s="40" t="str">
        <x:f>IF(AND(ISBLANK(F63),ISBLANK(G63),ISBLANK(H63)),"",IF(NOT(ISNUMBER(F63)),"Lỗi đáp án",IF(OR(F63&lt;0,F63&gt;K63,MOD(F63,1)&lt;&gt;0),"Lỗi đáp án",IF(AND(LEN(H63)&gt;0,COUNTIF('Nhật ký'!$I$63:$I$69,H63)=0),"Lỗi mã",IF(AND(F63=0,G63="Bỏ trống"),"Đã chấm",IF(AND(F63&gt;0,OR(G63="Đúng",G63="Sai")),"Đã chấm",IF(ISBLANK(G63),"Chưa chấm","Kiểm tra bỏ trống")))))))</x:f>
      </x:c>
      <x:c r="K63" s="40" t="n">
        <x:v>4</x:v>
      </x:c>
      <x:c r="M63" t="str">
        <x:v>N3-R:30</x:v>
      </x:c>
      <x:c r="N63" t="n">
        <x:v>4</x:v>
      </x:c>
      <x:c r="O63" t="str">
        <x:v>N3answer.pdf p2</x:v>
      </x:c>
    </x:row>
    <x:row r="64" ht="25" customHeight="1">
      <x:c r="A64" s="2" t="str">
        <x:v>N3-L1</x:v>
      </x:c>
      <x:c r="B64" s="2" t="str">
        <x:v>N3</x:v>
      </x:c>
      <x:c r="C64" s="2" t="str">
        <x:v>Nghe</x:v>
      </x:c>
      <x:c r="D64" s="2" t="str">
        <x:v>M1-1</x:v>
      </x:c>
      <x:c r="E64" s="44" t="str">
        <x:v>Mở đề</x:v>
      </x:c>
      <x:c r="F64" s="39"/>
      <x:c r="G64" s="39"/>
      <x:c r="H64" s="39"/>
      <x:c r="I64" s="2"/>
      <x:c r="J64" s="40" t="str">
        <x:f>IF(AND(ISBLANK(F64),ISBLANK(G64),ISBLANK(H64)),"",IF(NOT(ISNUMBER(F64)),"Lỗi đáp án",IF(OR(F64&lt;0,F64&gt;K64,MOD(F64,1)&lt;&gt;0),"Lỗi đáp án",IF(AND(LEN(H64)&gt;0,COUNTIF('Nhật ký'!$I$63:$I$69,H64)=0),"Lỗi mã",IF(AND(F64=0,G64="Bỏ trống"),"Đã chấm",IF(AND(F64&gt;0,OR(G64="Đúng",G64="Sai")),"Đã chấm",IF(ISBLANK(G64),"Chưa chấm","Kiểm tra bỏ trống")))))))</x:f>
      </x:c>
      <x:c r="K64" s="40" t="n">
        <x:v>4</x:v>
      </x:c>
      <x:c r="M64" t="str">
        <x:v>N3-L1:M1-1</x:v>
      </x:c>
      <x:c r="N64" t="n">
        <x:v>2</x:v>
      </x:c>
      <x:c r="O64" t="str">
        <x:v>N3answer.pdf p2</x:v>
      </x:c>
    </x:row>
    <x:row r="65" ht="25" customHeight="1">
      <x:c r="A65" s="2" t="str">
        <x:v>N3-L1</x:v>
      </x:c>
      <x:c r="B65" s="2" t="str">
        <x:v>N3</x:v>
      </x:c>
      <x:c r="C65" s="2" t="str">
        <x:v>Nghe</x:v>
      </x:c>
      <x:c r="D65" s="2" t="str">
        <x:v>M1-2</x:v>
      </x:c>
      <x:c r="E65" s="44" t="str">
        <x:v>Mở đề</x:v>
      </x:c>
      <x:c r="F65" s="39"/>
      <x:c r="G65" s="39"/>
      <x:c r="H65" s="39"/>
      <x:c r="I65" s="2"/>
      <x:c r="J65" s="40" t="str">
        <x:f>IF(AND(ISBLANK(F65),ISBLANK(G65),ISBLANK(H65)),"",IF(NOT(ISNUMBER(F65)),"Lỗi đáp án",IF(OR(F65&lt;0,F65&gt;K65,MOD(F65,1)&lt;&gt;0),"Lỗi đáp án",IF(AND(LEN(H65)&gt;0,COUNTIF('Nhật ký'!$I$63:$I$69,H65)=0),"Lỗi mã",IF(AND(F65=0,G65="Bỏ trống"),"Đã chấm",IF(AND(F65&gt;0,OR(G65="Đúng",G65="Sai")),"Đã chấm",IF(ISBLANK(G65),"Chưa chấm","Kiểm tra bỏ trống")))))))</x:f>
      </x:c>
      <x:c r="K65" s="40" t="n">
        <x:v>4</x:v>
      </x:c>
      <x:c r="M65" t="str">
        <x:v>N3-L1:M1-2</x:v>
      </x:c>
      <x:c r="N65" t="n">
        <x:v>3</x:v>
      </x:c>
      <x:c r="O65" t="str">
        <x:v>N3answer.pdf p2</x:v>
      </x:c>
    </x:row>
    <x:row r="66" ht="25" customHeight="1">
      <x:c r="A66" s="2" t="str">
        <x:v>N3-L1</x:v>
      </x:c>
      <x:c r="B66" s="2" t="str">
        <x:v>N3</x:v>
      </x:c>
      <x:c r="C66" s="2" t="str">
        <x:v>Nghe</x:v>
      </x:c>
      <x:c r="D66" s="2" t="str">
        <x:v>M2-1</x:v>
      </x:c>
      <x:c r="E66" s="44" t="str">
        <x:v>Mở đề</x:v>
      </x:c>
      <x:c r="F66" s="39"/>
      <x:c r="G66" s="39"/>
      <x:c r="H66" s="39"/>
      <x:c r="I66" s="2"/>
      <x:c r="J66" s="40" t="str">
        <x:f>IF(AND(ISBLANK(F66),ISBLANK(G66),ISBLANK(H66)),"",IF(NOT(ISNUMBER(F66)),"Lỗi đáp án",IF(OR(F66&lt;0,F66&gt;K66,MOD(F66,1)&lt;&gt;0),"Lỗi đáp án",IF(AND(LEN(H66)&gt;0,COUNTIF('Nhật ký'!$I$63:$I$69,H66)=0),"Lỗi mã",IF(AND(F66=0,G66="Bỏ trống"),"Đã chấm",IF(AND(F66&gt;0,OR(G66="Đúng",G66="Sai")),"Đã chấm",IF(ISBLANK(G66),"Chưa chấm","Kiểm tra bỏ trống")))))))</x:f>
      </x:c>
      <x:c r="K66" s="40" t="n">
        <x:v>4</x:v>
      </x:c>
      <x:c r="M66" t="str">
        <x:v>N3-L1:M2-1</x:v>
      </x:c>
      <x:c r="N66" t="n">
        <x:v>2</x:v>
      </x:c>
      <x:c r="O66" t="str">
        <x:v>N3answer.pdf p2</x:v>
      </x:c>
    </x:row>
    <x:row r="67" ht="25" customHeight="1">
      <x:c r="A67" s="2" t="str">
        <x:v>N3-L1</x:v>
      </x:c>
      <x:c r="B67" s="2" t="str">
        <x:v>N3</x:v>
      </x:c>
      <x:c r="C67" s="2" t="str">
        <x:v>Nghe</x:v>
      </x:c>
      <x:c r="D67" s="2" t="str">
        <x:v>M2-2</x:v>
      </x:c>
      <x:c r="E67" s="44" t="str">
        <x:v>Mở đề</x:v>
      </x:c>
      <x:c r="F67" s="39"/>
      <x:c r="G67" s="39"/>
      <x:c r="H67" s="39"/>
      <x:c r="I67" s="44" t="str">
        <x:v>Ghi ngày/phút</x:v>
      </x:c>
      <x:c r="J67" s="40" t="str">
        <x:f>IF(AND(ISBLANK(F67),ISBLANK(G67),ISBLANK(H67)),"",IF(NOT(ISNUMBER(F67)),"Lỗi đáp án",IF(OR(F67&lt;0,F67&gt;K67,MOD(F67,1)&lt;&gt;0),"Lỗi đáp án",IF(AND(LEN(H67)&gt;0,COUNTIF('Nhật ký'!$I$63:$I$69,H67)=0),"Lỗi mã",IF(AND(F67=0,G67="Bỏ trống"),"Đã chấm",IF(AND(F67&gt;0,OR(G67="Đúng",G67="Sai")),"Đã chấm",IF(ISBLANK(G67),"Chưa chấm","Kiểm tra bỏ trống")))))))</x:f>
      </x:c>
      <x:c r="K67" s="40" t="n">
        <x:v>4</x:v>
      </x:c>
      <x:c r="M67" t="str">
        <x:v>N3-L1:M2-2</x:v>
      </x:c>
      <x:c r="N67" t="n">
        <x:v>4</x:v>
      </x:c>
      <x:c r="O67" t="str">
        <x:v>N3answer.pdf p2</x:v>
      </x:c>
    </x:row>
    <x:row r="68" ht="25" customHeight="1">
      <x:c r="A68" s="2" t="str">
        <x:v>N3-L2</x:v>
      </x:c>
      <x:c r="B68" s="2" t="str">
        <x:v>N3</x:v>
      </x:c>
      <x:c r="C68" s="2" t="str">
        <x:v>Nghe</x:v>
      </x:c>
      <x:c r="D68" s="2" t="str">
        <x:v>M3-1</x:v>
      </x:c>
      <x:c r="E68" s="44" t="str">
        <x:v>Mở đề</x:v>
      </x:c>
      <x:c r="F68" s="39"/>
      <x:c r="G68" s="39"/>
      <x:c r="H68" s="39"/>
      <x:c r="I68" s="2"/>
      <x:c r="J68" s="40" t="str">
        <x:f>IF(AND(ISBLANK(F68),ISBLANK(G68),ISBLANK(H68)),"",IF(NOT(ISNUMBER(F68)),"Lỗi đáp án",IF(OR(F68&lt;0,F68&gt;K68,MOD(F68,1)&lt;&gt;0),"Lỗi đáp án",IF(AND(LEN(H68)&gt;0,COUNTIF('Nhật ký'!$I$63:$I$69,H68)=0),"Lỗi mã",IF(AND(F68=0,G68="Bỏ trống"),"Đã chấm",IF(AND(F68&gt;0,OR(G68="Đúng",G68="Sai")),"Đã chấm",IF(ISBLANK(G68),"Chưa chấm","Kiểm tra bỏ trống")))))))</x:f>
      </x:c>
      <x:c r="K68" s="40" t="n">
        <x:v>4</x:v>
      </x:c>
      <x:c r="M68" t="str">
        <x:v>N3-L2:M3-1</x:v>
      </x:c>
      <x:c r="N68" t="n">
        <x:v>3</x:v>
      </x:c>
      <x:c r="O68" t="str">
        <x:v>N3answer.pdf p2</x:v>
      </x:c>
    </x:row>
    <x:row r="69" ht="25" customHeight="1">
      <x:c r="A69" s="2" t="str">
        <x:v>N3-L2</x:v>
      </x:c>
      <x:c r="B69" s="2" t="str">
        <x:v>N3</x:v>
      </x:c>
      <x:c r="C69" s="2" t="str">
        <x:v>Nghe</x:v>
      </x:c>
      <x:c r="D69" s="2" t="str">
        <x:v>M3-2</x:v>
      </x:c>
      <x:c r="E69" s="44" t="str">
        <x:v>Mở đề</x:v>
      </x:c>
      <x:c r="F69" s="39"/>
      <x:c r="G69" s="39"/>
      <x:c r="H69" s="39"/>
      <x:c r="I69" s="2"/>
      <x:c r="J69" s="40" t="str">
        <x:f>IF(AND(ISBLANK(F69),ISBLANK(G69),ISBLANK(H69)),"",IF(NOT(ISNUMBER(F69)),"Lỗi đáp án",IF(OR(F69&lt;0,F69&gt;K69,MOD(F69,1)&lt;&gt;0),"Lỗi đáp án",IF(AND(LEN(H69)&gt;0,COUNTIF('Nhật ký'!$I$63:$I$69,H69)=0),"Lỗi mã",IF(AND(F69=0,G69="Bỏ trống"),"Đã chấm",IF(AND(F69&gt;0,OR(G69="Đúng",G69="Sai")),"Đã chấm",IF(ISBLANK(G69),"Chưa chấm","Kiểm tra bỏ trống")))))))</x:f>
      </x:c>
      <x:c r="K69" s="40" t="n">
        <x:v>4</x:v>
      </x:c>
      <x:c r="M69" t="str">
        <x:v>N3-L2:M3-2</x:v>
      </x:c>
      <x:c r="N69" t="n">
        <x:v>4</x:v>
      </x:c>
      <x:c r="O69" t="str">
        <x:v>N3answer.pdf p2</x:v>
      </x:c>
    </x:row>
    <x:row r="70" ht="25" customHeight="1">
      <x:c r="A70" s="2" t="str">
        <x:v>N3-L2</x:v>
      </x:c>
      <x:c r="B70" s="2" t="str">
        <x:v>N3</x:v>
      </x:c>
      <x:c r="C70" s="2" t="str">
        <x:v>Nghe</x:v>
      </x:c>
      <x:c r="D70" s="2" t="str">
        <x:v>M4-1</x:v>
      </x:c>
      <x:c r="E70" s="44" t="str">
        <x:v>Mở đề</x:v>
      </x:c>
      <x:c r="F70" s="39"/>
      <x:c r="G70" s="39"/>
      <x:c r="H70" s="39"/>
      <x:c r="I70" s="2"/>
      <x:c r="J70" s="40" t="str">
        <x:f>IF(AND(ISBLANK(F70),ISBLANK(G70),ISBLANK(H70)),"",IF(NOT(ISNUMBER(F70)),"Lỗi đáp án",IF(OR(F70&lt;0,F70&gt;K70,MOD(F70,1)&lt;&gt;0),"Lỗi đáp án",IF(AND(LEN(H70)&gt;0,COUNTIF('Nhật ký'!$I$63:$I$69,H70)=0),"Lỗi mã",IF(AND(F70=0,G70="Bỏ trống"),"Đã chấm",IF(AND(F70&gt;0,OR(G70="Đúng",G70="Sai")),"Đã chấm",IF(ISBLANK(G70),"Chưa chấm","Kiểm tra bỏ trống")))))))</x:f>
      </x:c>
      <x:c r="K70" s="40" t="n">
        <x:v>3</x:v>
      </x:c>
      <x:c r="M70" t="str">
        <x:v>N3-L2:M4-1</x:v>
      </x:c>
      <x:c r="N70" t="n">
        <x:v>1</x:v>
      </x:c>
      <x:c r="O70" t="str">
        <x:v>N3answer.pdf p2</x:v>
      </x:c>
    </x:row>
    <x:row r="71" ht="25" customHeight="1">
      <x:c r="A71" s="2" t="str">
        <x:v>N3-L2</x:v>
      </x:c>
      <x:c r="B71" s="2" t="str">
        <x:v>N3</x:v>
      </x:c>
      <x:c r="C71" s="2" t="str">
        <x:v>Nghe</x:v>
      </x:c>
      <x:c r="D71" s="2" t="str">
        <x:v>M4-2</x:v>
      </x:c>
      <x:c r="E71" s="44" t="str">
        <x:v>Mở đề</x:v>
      </x:c>
      <x:c r="F71" s="39"/>
      <x:c r="G71" s="39"/>
      <x:c r="H71" s="39"/>
      <x:c r="I71" s="2"/>
      <x:c r="J71" s="40" t="str">
        <x:f>IF(AND(ISBLANK(F71),ISBLANK(G71),ISBLANK(H71)),"",IF(NOT(ISNUMBER(F71)),"Lỗi đáp án",IF(OR(F71&lt;0,F71&gt;K71,MOD(F71,1)&lt;&gt;0),"Lỗi đáp án",IF(AND(LEN(H71)&gt;0,COUNTIF('Nhật ký'!$I$63:$I$69,H71)=0),"Lỗi mã",IF(AND(F71=0,G71="Bỏ trống"),"Đã chấm",IF(AND(F71&gt;0,OR(G71="Đúng",G71="Sai")),"Đã chấm",IF(ISBLANK(G71),"Chưa chấm","Kiểm tra bỏ trống")))))))</x:f>
      </x:c>
      <x:c r="K71" s="40" t="n">
        <x:v>3</x:v>
      </x:c>
      <x:c r="M71" t="str">
        <x:v>N3-L2:M4-2</x:v>
      </x:c>
      <x:c r="N71" t="n">
        <x:v>2</x:v>
      </x:c>
      <x:c r="O71" t="str">
        <x:v>N3answer.pdf p2</x:v>
      </x:c>
    </x:row>
    <x:row r="72" ht="25" customHeight="1">
      <x:c r="A72" s="2" t="str">
        <x:v>N3-L2</x:v>
      </x:c>
      <x:c r="B72" s="2" t="str">
        <x:v>N3</x:v>
      </x:c>
      <x:c r="C72" s="2" t="str">
        <x:v>Nghe</x:v>
      </x:c>
      <x:c r="D72" s="2" t="str">
        <x:v>M5-1</x:v>
      </x:c>
      <x:c r="E72" s="44" t="str">
        <x:v>Mở đề</x:v>
      </x:c>
      <x:c r="F72" s="39"/>
      <x:c r="G72" s="39"/>
      <x:c r="H72" s="39"/>
      <x:c r="I72" s="2"/>
      <x:c r="J72" s="40" t="str">
        <x:f>IF(AND(ISBLANK(F72),ISBLANK(G72),ISBLANK(H72)),"",IF(NOT(ISNUMBER(F72)),"Lỗi đáp án",IF(OR(F72&lt;0,F72&gt;K72,MOD(F72,1)&lt;&gt;0),"Lỗi đáp án",IF(AND(LEN(H72)&gt;0,COUNTIF('Nhật ký'!$I$63:$I$69,H72)=0),"Lỗi mã",IF(AND(F72=0,G72="Bỏ trống"),"Đã chấm",IF(AND(F72&gt;0,OR(G72="Đúng",G72="Sai")),"Đã chấm",IF(ISBLANK(G72),"Chưa chấm","Kiểm tra bỏ trống")))))))</x:f>
      </x:c>
      <x:c r="K72" s="40" t="n">
        <x:v>3</x:v>
      </x:c>
      <x:c r="M72" t="str">
        <x:v>N3-L2:M5-1</x:v>
      </x:c>
      <x:c r="N72" t="n">
        <x:v>1</x:v>
      </x:c>
      <x:c r="O72" t="str">
        <x:v>N3answer.pdf p2</x:v>
      </x:c>
    </x:row>
    <x:row r="73" ht="25" customHeight="1">
      <x:c r="A73" s="2" t="str">
        <x:v>N3-L2</x:v>
      </x:c>
      <x:c r="B73" s="2" t="str">
        <x:v>N3</x:v>
      </x:c>
      <x:c r="C73" s="2" t="str">
        <x:v>Nghe</x:v>
      </x:c>
      <x:c r="D73" s="2" t="str">
        <x:v>M5-2</x:v>
      </x:c>
      <x:c r="E73" s="44" t="str">
        <x:v>Mở đề</x:v>
      </x:c>
      <x:c r="F73" s="39"/>
      <x:c r="G73" s="39"/>
      <x:c r="H73" s="39"/>
      <x:c r="I73" s="44" t="str">
        <x:v>Ghi ngày/phút</x:v>
      </x:c>
      <x:c r="J73" s="40" t="str">
        <x:f>IF(AND(ISBLANK(F73),ISBLANK(G73),ISBLANK(H73)),"",IF(NOT(ISNUMBER(F73)),"Lỗi đáp án",IF(OR(F73&lt;0,F73&gt;K73,MOD(F73,1)&lt;&gt;0),"Lỗi đáp án",IF(AND(LEN(H73)&gt;0,COUNTIF('Nhật ký'!$I$63:$I$69,H73)=0),"Lỗi mã",IF(AND(F73=0,G73="Bỏ trống"),"Đã chấm",IF(AND(F73&gt;0,OR(G73="Đúng",G73="Sai")),"Đã chấm",IF(ISBLANK(G73),"Chưa chấm","Kiểm tra bỏ trống")))))))</x:f>
      </x:c>
      <x:c r="K73" s="40" t="n">
        <x:v>3</x:v>
      </x:c>
      <x:c r="M73" t="str">
        <x:v>N3-L2:M5-2</x:v>
      </x:c>
      <x:c r="N73" t="n">
        <x:v>3</x:v>
      </x:c>
      <x:c r="O73" t="str">
        <x:v>N3answer.pdf p2</x:v>
      </x:c>
    </x:row>
    <x:row r="74" ht="2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25" customHeight="1">
      <x:c r="A75" s="45" t="str">
        <x:v>Bảng chấm từng khối</x:v>
      </x:c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M75" t="str">
        <x:v>Source: Official Worldwide Japanese-Language Proficiency Test Website (https://www.jlpt.jp/)</x:v>
      </x:c>
    </x:row>
    <x:row r="76" ht="25" customHeight="1">
      <x:c r="A76" s="12" t="str">
        <x:v>H/I/J là ô nhập sau khi chấm. Mới chỉ khi chưa xem câu, chưa xem khóa/bản chép, không được gợi ý.</x:v>
      </x:c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M76" t="str">
        <x:v>N4answer.pdf và N3answer.pdf; JLPT Site Policy mục 1(1), kiểm 15/10/2026. Không tái bản nội dung đề/âm thanh.</x:v>
      </x:c>
    </x:row>
    <x:row r="77" ht="34" customHeight="1">
      <x:c r="A77" s="36" t="str">
        <x:v>Khối</x:v>
      </x:c>
      <x:c r="B77" s="37" t="str">
        <x:v>Cấp</x:v>
      </x:c>
      <x:c r="C77" s="37" t="str">
        <x:v>Kỹ năng</x:v>
      </x:c>
      <x:c r="D77" s="37" t="str">
        <x:v>Tổng câu</x:v>
      </x:c>
      <x:c r="E77" s="37" t="str">
        <x:v>Đã chấm</x:v>
      </x:c>
      <x:c r="F77" s="37" t="str">
        <x:v>Đúng</x:v>
      </x:c>
      <x:c r="G77" s="37" t="str">
        <x:v>Độ đúng</x:v>
      </x:c>
      <x:c r="H77" s="37" t="str">
        <x:v>Ngày thật</x:v>
      </x:c>
      <x:c r="I77" s="37" t="str">
        <x:v>Phút làm</x:v>
      </x:c>
      <x:c r="J77" s="37" t="str">
        <x:v>Loại câu</x:v>
      </x:c>
      <x:c r="K77" s="38" t="str">
        <x:v>Trạng thái</x:v>
      </x:c>
    </x:row>
    <x:row r="78" ht="25" customHeight="1">
      <x:c r="A78" s="2" t="str">
        <x:v>N4-G1</x:v>
      </x:c>
      <x:c r="B78" s="2" t="str">
        <x:v>N4</x:v>
      </x:c>
      <x:c r="C78" s="2" t="str">
        <x:v>Ngữ pháp</x:v>
      </x:c>
      <x:c r="D78" s="40" t="n">
        <x:v>6</x:v>
      </x:c>
      <x:c r="E78" s="40" t="n">
        <x:f>COUNTIF(J8:J13,"Đã chấm")</x:f>
        <x:v>0</x:v>
      </x:c>
      <x:c r="F78" s="40" t="str">
        <x:f>IF(E78=D78,COUNTIFS(G8:G13,"Đúng",J8:J13,"Đã chấm"),"")</x:f>
      </x:c>
      <x:c r="G78" s="47" t="str">
        <x:f>IF(K78="Đã chấm",F78/D78,"")</x:f>
      </x:c>
      <x:c r="H78" s="46"/>
      <x:c r="I78" s="39"/>
      <x:c r="J78" s="39"/>
      <x:c r="K78" s="40" t="str">
        <x:f>IF(E78&lt;D78,"Còn "&amp;(D78-E78)&amp;" câu chưa chấm",IF(OR(NOT(ISNUMBER(H78)),H78&lt;1),"Thiếu ngày",IF(OR(NOT(ISNUMBER(I78)),I78&lt;=0),"Thiếu phút",IF(AND(J78&lt;&gt;"Mới",J78&lt;&gt;"Ôn lại"),"Chọn loại câu","Đã chấm"))))</x:f>
        <x:v>Còn 6 câu chưa chấm</x:v>
      </x:c>
    </x:row>
    <x:row r="79" ht="25" customHeight="1">
      <x:c r="A79" s="2" t="str">
        <x:v>N4-G2</x:v>
      </x:c>
      <x:c r="B79" s="2" t="str">
        <x:v>N4</x:v>
      </x:c>
      <x:c r="C79" s="2" t="str">
        <x:v>Ngữ pháp</x:v>
      </x:c>
      <x:c r="D79" s="40" t="n">
        <x:v>7</x:v>
      </x:c>
      <x:c r="E79" s="40" t="n">
        <x:f>COUNTIF(J14:J20,"Đã chấm")</x:f>
        <x:v>0</x:v>
      </x:c>
      <x:c r="F79" s="40" t="str">
        <x:f>IF(E79=D79,COUNTIFS(G14:G20,"Đúng",J14:J20,"Đã chấm"),"")</x:f>
      </x:c>
      <x:c r="G79" s="47" t="str">
        <x:f>IF(K79="Đã chấm",F79/D79,"")</x:f>
      </x:c>
      <x:c r="H79" s="46"/>
      <x:c r="I79" s="39"/>
      <x:c r="J79" s="39"/>
      <x:c r="K79" s="40" t="str">
        <x:f>IF(E79&lt;D79,"Còn "&amp;(D79-E79)&amp;" câu chưa chấm",IF(OR(NOT(ISNUMBER(H79)),H79&lt;1),"Thiếu ngày",IF(OR(NOT(ISNUMBER(I79)),I79&lt;=0),"Thiếu phút",IF(AND(J79&lt;&gt;"Mới",J79&lt;&gt;"Ôn lại"),"Chọn loại câu","Đã chấm"))))</x:f>
        <x:v>Còn 7 câu chưa chấm</x:v>
      </x:c>
    </x:row>
    <x:row r="80" ht="25" customHeight="1">
      <x:c r="A80" s="2" t="str">
        <x:v>N4-V</x:v>
      </x:c>
      <x:c r="B80" s="2" t="str">
        <x:v>N4</x:v>
      </x:c>
      <x:c r="C80" s="2" t="str">
        <x:v>Từ và kanji</x:v>
      </x:c>
      <x:c r="D80" s="40" t="n">
        <x:v>10</x:v>
      </x:c>
      <x:c r="E80" s="40" t="n">
        <x:f>COUNTIF(J21:J30,"Đã chấm")</x:f>
        <x:v>0</x:v>
      </x:c>
      <x:c r="F80" s="40" t="str">
        <x:f>IF(E80=D80,COUNTIFS(G21:G30,"Đúng",J21:J30,"Đã chấm"),"")</x:f>
      </x:c>
      <x:c r="G80" s="47" t="str">
        <x:f>IF(K80="Đã chấm",F80/D80,"")</x:f>
      </x:c>
      <x:c r="H80" s="46"/>
      <x:c r="I80" s="39"/>
      <x:c r="J80" s="39"/>
      <x:c r="K80" s="40" t="str">
        <x:f>IF(E80&lt;D80,"Còn "&amp;(D80-E80)&amp;" câu chưa chấm",IF(OR(NOT(ISNUMBER(H80)),H80&lt;1),"Thiếu ngày",IF(OR(NOT(ISNUMBER(I80)),I80&lt;=0),"Thiếu phút",IF(AND(J80&lt;&gt;"Mới",J80&lt;&gt;"Ôn lại"),"Chọn loại câu","Đã chấm"))))</x:f>
        <x:v>Còn 10 câu chưa chấm</x:v>
      </x:c>
    </x:row>
    <x:row r="81" ht="25" customHeight="1">
      <x:c r="A81" s="2" t="str">
        <x:v>N4-R</x:v>
      </x:c>
      <x:c r="B81" s="2" t="str">
        <x:v>N4</x:v>
      </x:c>
      <x:c r="C81" s="2" t="str">
        <x:v>Đọc</x:v>
      </x:c>
      <x:c r="D81" s="40" t="n">
        <x:v>5</x:v>
      </x:c>
      <x:c r="E81" s="40" t="n">
        <x:f>COUNTIF(J31:J35,"Đã chấm")</x:f>
        <x:v>0</x:v>
      </x:c>
      <x:c r="F81" s="40" t="str">
        <x:f>IF(E81=D81,COUNTIFS(G31:G35,"Đúng",J31:J35,"Đã chấm"),"")</x:f>
      </x:c>
      <x:c r="G81" s="47" t="str">
        <x:f>IF(K81="Đã chấm",F81/D81,"")</x:f>
      </x:c>
      <x:c r="H81" s="46"/>
      <x:c r="I81" s="39"/>
      <x:c r="J81" s="39"/>
      <x:c r="K81" s="40" t="str">
        <x:f>IF(E81&lt;D81,"Còn "&amp;(D81-E81)&amp;" câu chưa chấm",IF(OR(NOT(ISNUMBER(H81)),H81&lt;1),"Thiếu ngày",IF(OR(NOT(ISNUMBER(I81)),I81&lt;=0),"Thiếu phút",IF(AND(J81&lt;&gt;"Mới",J81&lt;&gt;"Ôn lại"),"Chọn loại câu","Đã chấm"))))</x:f>
        <x:v>Còn 5 câu chưa chấm</x:v>
      </x:c>
    </x:row>
    <x:row r="82" ht="25" customHeight="1">
      <x:c r="A82" s="2" t="str">
        <x:v>N4-L1</x:v>
      </x:c>
      <x:c r="B82" s="2" t="str">
        <x:v>N4</x:v>
      </x:c>
      <x:c r="C82" s="2" t="str">
        <x:v>Nghe</x:v>
      </x:c>
      <x:c r="D82" s="40" t="n">
        <x:v>4</x:v>
      </x:c>
      <x:c r="E82" s="40" t="n">
        <x:f>COUNTIF(J36:J39,"Đã chấm")</x:f>
        <x:v>0</x:v>
      </x:c>
      <x:c r="F82" s="40" t="str">
        <x:f>IF(E82=D82,COUNTIFS(G36:G39,"Đúng",J36:J39,"Đã chấm"),"")</x:f>
      </x:c>
      <x:c r="G82" s="47" t="str">
        <x:f>IF(K82="Đã chấm",F82/D82,"")</x:f>
      </x:c>
      <x:c r="H82" s="46"/>
      <x:c r="I82" s="39"/>
      <x:c r="J82" s="39"/>
      <x:c r="K82" s="40" t="str">
        <x:f>IF(E82&lt;D82,"Còn "&amp;(D82-E82)&amp;" câu chưa chấm",IF(OR(NOT(ISNUMBER(H82)),H82&lt;1),"Thiếu ngày",IF(OR(NOT(ISNUMBER(I82)),I82&lt;=0),"Thiếu phút",IF(AND(J82&lt;&gt;"Mới",J82&lt;&gt;"Ôn lại"),"Chọn loại câu","Đã chấm"))))</x:f>
        <x:v>Còn 4 câu chưa chấm</x:v>
      </x:c>
    </x:row>
    <x:row r="83" ht="25" customHeight="1">
      <x:c r="A83" s="2" t="str">
        <x:v>N4-L2</x:v>
      </x:c>
      <x:c r="B83" s="2" t="str">
        <x:v>N4</x:v>
      </x:c>
      <x:c r="C83" s="2" t="str">
        <x:v>Nghe</x:v>
      </x:c>
      <x:c r="D83" s="40" t="n">
        <x:v>4</x:v>
      </x:c>
      <x:c r="E83" s="40" t="n">
        <x:f>COUNTIF(J40:J43,"Đã chấm")</x:f>
        <x:v>0</x:v>
      </x:c>
      <x:c r="F83" s="40" t="str">
        <x:f>IF(E83=D83,COUNTIFS(G40:G43,"Đúng",J40:J43,"Đã chấm"),"")</x:f>
      </x:c>
      <x:c r="G83" s="47" t="str">
        <x:f>IF(K83="Đã chấm",F83/D83,"")</x:f>
      </x:c>
      <x:c r="H83" s="46"/>
      <x:c r="I83" s="39"/>
      <x:c r="J83" s="39"/>
      <x:c r="K83" s="40" t="str">
        <x:f>IF(E83&lt;D83,"Còn "&amp;(D83-E83)&amp;" câu chưa chấm",IF(OR(NOT(ISNUMBER(H83)),H83&lt;1),"Thiếu ngày",IF(OR(NOT(ISNUMBER(I83)),I83&lt;=0),"Thiếu phút",IF(AND(J83&lt;&gt;"Mới",J83&lt;&gt;"Ôn lại"),"Chọn loại câu","Đã chấm"))))</x:f>
        <x:v>Còn 4 câu chưa chấm</x:v>
      </x:c>
    </x:row>
    <x:row r="84" ht="25" customHeight="1">
      <x:c r="A84" s="2" t="str">
        <x:v>N3-G</x:v>
      </x:c>
      <x:c r="B84" s="2" t="str">
        <x:v>N3</x:v>
      </x:c>
      <x:c r="C84" s="2" t="str">
        <x:v>Ngữ pháp</x:v>
      </x:c>
      <x:c r="D84" s="40" t="n">
        <x:v>6</x:v>
      </x:c>
      <x:c r="E84" s="40" t="n">
        <x:f>COUNTIF(J44:J49,"Đã chấm")</x:f>
        <x:v>0</x:v>
      </x:c>
      <x:c r="F84" s="40" t="str">
        <x:f>IF(E84=D84,COUNTIFS(G44:G49,"Đúng",J44:J49,"Đã chấm"),"")</x:f>
      </x:c>
      <x:c r="G84" s="47" t="str">
        <x:f>IF(K84="Đã chấm",F84/D84,"")</x:f>
      </x:c>
      <x:c r="H84" s="46"/>
      <x:c r="I84" s="39"/>
      <x:c r="J84" s="39"/>
      <x:c r="K84" s="40" t="str">
        <x:f>IF(E84&lt;D84,"Còn "&amp;(D84-E84)&amp;" câu chưa chấm",IF(OR(NOT(ISNUMBER(H84)),H84&lt;1),"Thiếu ngày",IF(OR(NOT(ISNUMBER(I84)),I84&lt;=0),"Thiếu phút",IF(AND(J84&lt;&gt;"Mới",J84&lt;&gt;"Ôn lại"),"Chọn loại câu","Đã chấm"))))</x:f>
        <x:v>Còn 6 câu chưa chấm</x:v>
      </x:c>
    </x:row>
    <x:row r="85" ht="25" customHeight="1">
      <x:c r="A85" s="2" t="str">
        <x:v>N3-V</x:v>
      </x:c>
      <x:c r="B85" s="2" t="str">
        <x:v>N3</x:v>
      </x:c>
      <x:c r="C85" s="2" t="str">
        <x:v>Từ và kanji</x:v>
      </x:c>
      <x:c r="D85" s="40" t="n">
        <x:v>10</x:v>
      </x:c>
      <x:c r="E85" s="40" t="n">
        <x:f>COUNTIF(J50:J59,"Đã chấm")</x:f>
        <x:v>0</x:v>
      </x:c>
      <x:c r="F85" s="40" t="str">
        <x:f>IF(E85=D85,COUNTIFS(G50:G59,"Đúng",J50:J59,"Đã chấm"),"")</x:f>
      </x:c>
      <x:c r="G85" s="47" t="str">
        <x:f>IF(K85="Đã chấm",F85/D85,"")</x:f>
      </x:c>
      <x:c r="H85" s="46"/>
      <x:c r="I85" s="39"/>
      <x:c r="J85" s="39"/>
      <x:c r="K85" s="40" t="str">
        <x:f>IF(E85&lt;D85,"Còn "&amp;(D85-E85)&amp;" câu chưa chấm",IF(OR(NOT(ISNUMBER(H85)),H85&lt;1),"Thiếu ngày",IF(OR(NOT(ISNUMBER(I85)),I85&lt;=0),"Thiếu phút",IF(AND(J85&lt;&gt;"Mới",J85&lt;&gt;"Ôn lại"),"Chọn loại câu","Đã chấm"))))</x:f>
        <x:v>Còn 10 câu chưa chấm</x:v>
      </x:c>
    </x:row>
    <x:row r="86" ht="25" customHeight="1">
      <x:c r="A86" s="2" t="str">
        <x:v>N3-R</x:v>
      </x:c>
      <x:c r="B86" s="2" t="str">
        <x:v>N3</x:v>
      </x:c>
      <x:c r="C86" s="2" t="str">
        <x:v>Đọc</x:v>
      </x:c>
      <x:c r="D86" s="40" t="n">
        <x:v>4</x:v>
      </x:c>
      <x:c r="E86" s="40" t="n">
        <x:f>COUNTIF(J60:J63,"Đã chấm")</x:f>
        <x:v>0</x:v>
      </x:c>
      <x:c r="F86" s="40" t="str">
        <x:f>IF(E86=D86,COUNTIFS(G60:G63,"Đúng",J60:J63,"Đã chấm"),"")</x:f>
      </x:c>
      <x:c r="G86" s="47" t="str">
        <x:f>IF(K86="Đã chấm",F86/D86,"")</x:f>
      </x:c>
      <x:c r="H86" s="46"/>
      <x:c r="I86" s="39"/>
      <x:c r="J86" s="39"/>
      <x:c r="K86" s="40" t="str">
        <x:f>IF(E86&lt;D86,"Còn "&amp;(D86-E86)&amp;" câu chưa chấm",IF(OR(NOT(ISNUMBER(H86)),H86&lt;1),"Thiếu ngày",IF(OR(NOT(ISNUMBER(I86)),I86&lt;=0),"Thiếu phút",IF(AND(J86&lt;&gt;"Mới",J86&lt;&gt;"Ôn lại"),"Chọn loại câu","Đã chấm"))))</x:f>
        <x:v>Còn 4 câu chưa chấm</x:v>
      </x:c>
    </x:row>
    <x:row r="87" ht="25" customHeight="1">
      <x:c r="A87" s="2" t="str">
        <x:v>N3-L1</x:v>
      </x:c>
      <x:c r="B87" s="2" t="str">
        <x:v>N3</x:v>
      </x:c>
      <x:c r="C87" s="2" t="str">
        <x:v>Nghe</x:v>
      </x:c>
      <x:c r="D87" s="40" t="n">
        <x:v>4</x:v>
      </x:c>
      <x:c r="E87" s="40" t="n">
        <x:f>COUNTIF(J64:J67,"Đã chấm")</x:f>
        <x:v>0</x:v>
      </x:c>
      <x:c r="F87" s="40" t="str">
        <x:f>IF(E87=D87,COUNTIFS(G64:G67,"Đúng",J64:J67,"Đã chấm"),"")</x:f>
      </x:c>
      <x:c r="G87" s="47" t="str">
        <x:f>IF(K87="Đã chấm",F87/D87,"")</x:f>
      </x:c>
      <x:c r="H87" s="46"/>
      <x:c r="I87" s="39"/>
      <x:c r="J87" s="39"/>
      <x:c r="K87" s="40" t="str">
        <x:f>IF(E87&lt;D87,"Còn "&amp;(D87-E87)&amp;" câu chưa chấm",IF(OR(NOT(ISNUMBER(H87)),H87&lt;1),"Thiếu ngày",IF(OR(NOT(ISNUMBER(I87)),I87&lt;=0),"Thiếu phút",IF(AND(J87&lt;&gt;"Mới",J87&lt;&gt;"Ôn lại"),"Chọn loại câu","Đã chấm"))))</x:f>
        <x:v>Còn 4 câu chưa chấm</x:v>
      </x:c>
    </x:row>
    <x:row r="88" ht="25" customHeight="1">
      <x:c r="A88" s="2" t="str">
        <x:v>N3-L2</x:v>
      </x:c>
      <x:c r="B88" s="2" t="str">
        <x:v>N3</x:v>
      </x:c>
      <x:c r="C88" s="2" t="str">
        <x:v>Nghe</x:v>
      </x:c>
      <x:c r="D88" s="40" t="n">
        <x:v>6</x:v>
      </x:c>
      <x:c r="E88" s="40" t="n">
        <x:f>COUNTIF(J68:J73,"Đã chấm")</x:f>
        <x:v>0</x:v>
      </x:c>
      <x:c r="F88" s="40" t="str">
        <x:f>IF(E88=D88,COUNTIFS(G68:G73,"Đúng",J68:J73,"Đã chấm"),"")</x:f>
      </x:c>
      <x:c r="G88" s="47" t="str">
        <x:f>IF(K88="Đã chấm",F88/D88,"")</x:f>
      </x:c>
      <x:c r="H88" s="46"/>
      <x:c r="I88" s="39"/>
      <x:c r="J88" s="39"/>
      <x:c r="K88" s="40" t="str">
        <x:f>IF(E88&lt;D88,"Còn "&amp;(D88-E88)&amp;" câu chưa chấm",IF(OR(NOT(ISNUMBER(H88)),H88&lt;1),"Thiếu ngày",IF(OR(NOT(ISNUMBER(I88)),I88&lt;=0),"Thiếu phút",IF(AND(J88&lt;&gt;"Mới",J88&lt;&gt;"Ôn lại"),"Chọn loại câu","Đã chấm"))))</x:f>
        <x:v>Còn 6 câu chưa chấm</x:v>
      </x:c>
    </x:row>
    <x:row r="89" ht="2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 ht="2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</x:sheetData>
  <x:conditionalFormatting sqref="J8:J73">
    <x:cfRule type="expression" dxfId="6" priority="1">
      <x:formula>AND(J8&lt;&gt;"",J8&lt;&gt;"Đã chấm",J8&lt;&gt;"Chưa chấm")</x:formula>
    </x:cfRule>
  </x:conditionalFormatting>
  <x:dataValidations count="9">
    <x:dataValidation type="list" errorStyle="stop" allowBlank="1" showErrorMessage="1" errorTitle="Giá trị chưa hợp lệ" error="Nhập đúng phạm vi; 0 là bỏ câu, trống là chưa làm." sqref="G8:G73">
      <x:formula1>"Đúng,Sai,Bỏ trống"</x:formula1>
    </x:dataValidation>
    <x:dataValidation type="list" errorStyle="stop" allowBlank="1" showErrorMessage="1" errorTitle="Giá trị chưa hợp lệ" error="Nhập đúng phạm vi; 0 là bỏ câu, trống là chưa làm." sqref="H8:H73">
      <x:formula1>"V,G,R,A,M,T,F"</x:formula1>
    </x:dataValidation>
    <x:dataValidation type="whole" errorStyle="stop" operator="between" allowBlank="1" showErrorMessage="1" errorTitle="Giá trị chưa hợp lệ" error="Nhập đúng phạm vi; 0 là bỏ câu, trống là chưa làm." sqref="F8:F39">
      <x:formula1>0</x:formula1>
      <x:formula2>4</x:formula2>
    </x:dataValidation>
    <x:dataValidation type="whole" errorStyle="stop" operator="between" allowBlank="1" showErrorMessage="1" errorTitle="Giá trị chưa hợp lệ" error="Nhập đúng phạm vi; 0 là bỏ câu, trống là chưa làm." sqref="F40:F43">
      <x:formula1>0</x:formula1>
      <x:formula2>3</x:formula2>
    </x:dataValidation>
    <x:dataValidation type="whole" errorStyle="stop" operator="between" allowBlank="1" showErrorMessage="1" errorTitle="Giá trị chưa hợp lệ" error="Nhập đúng phạm vi; 0 là bỏ câu, trống là chưa làm." sqref="F44:F69">
      <x:formula1>0</x:formula1>
      <x:formula2>4</x:formula2>
    </x:dataValidation>
    <x:dataValidation type="whole" errorStyle="stop" operator="between" allowBlank="1" showErrorMessage="1" errorTitle="Giá trị chưa hợp lệ" error="Nhập đúng phạm vi; 0 là bỏ câu, trống là chưa làm." sqref="F70:F73">
      <x:formula1>0</x:formula1>
      <x:formula2>3</x:formula2>
    </x:dataValidation>
    <x:dataValidation type="list" errorStyle="stop" allowBlank="1" showErrorMessage="1" errorTitle="Giá trị chưa hợp lệ" error="Nhập đúng phạm vi; 0 là bỏ câu, trống là chưa làm." sqref="J78:J88">
      <x:formula1>"Mới,Ôn lại"</x:formula1>
    </x:dataValidation>
    <x:dataValidation type="whole" errorStyle="stop" operator="between" allowBlank="1" showErrorMessage="1" errorTitle="Giá trị chưa hợp lệ" error="Nhập đúng phạm vi; 0 là bỏ câu, trống là chưa làm." sqref="H78:H88">
      <x:formula1>1</x:formula1>
      <x:formula2>2958465</x:formula2>
    </x:dataValidation>
    <x:dataValidation type="decimal" errorStyle="stop" operator="between" allowBlank="1" showErrorMessage="1" errorTitle="Giá trị chưa hợp lệ" error="Nhập đúng phạm vi; 0 là bỏ câu, trống là chưa làm." sqref="I78:I88">
      <x:formula1>0.01</x:formula1>
      <x:formula2>180</x:formula2>
    </x:dataValidation>
  </x:dataValidations>
  <x:hyperlinks>
    <x:hyperlink xmlns:ns0="http://schemas.openxmlformats.org/officeDocument/2006/relationships" ref="E8" display="Mở đề" ns0:id="rIdV31"/>
    <x:hyperlink xmlns:ns1="http://schemas.openxmlformats.org/officeDocument/2006/relationships" ref="E9" display="Mở đề" ns1:id="rIdV32"/>
    <x:hyperlink xmlns:ns2="http://schemas.openxmlformats.org/officeDocument/2006/relationships" ref="E10" display="Mở đề" ns2:id="rIdV33"/>
    <x:hyperlink xmlns:ns3="http://schemas.openxmlformats.org/officeDocument/2006/relationships" ref="E11" display="Mở đề" ns3:id="rIdV34"/>
    <x:hyperlink xmlns:ns4="http://schemas.openxmlformats.org/officeDocument/2006/relationships" ref="E12" display="Mở đề" ns4:id="rIdV35"/>
    <x:hyperlink xmlns:ns5="http://schemas.openxmlformats.org/officeDocument/2006/relationships" ref="E13" display="Mở đề" ns5:id="rIdV36"/>
    <x:hyperlink ref="I13" display="Ghi ngày/phút" location="'Chẩn đoán'!H78"/>
    <x:hyperlink xmlns:ns6="http://schemas.openxmlformats.org/officeDocument/2006/relationships" ref="E14" display="Mở đề" ns6:id="rIdV37"/>
    <x:hyperlink xmlns:ns7="http://schemas.openxmlformats.org/officeDocument/2006/relationships" ref="E15" display="Mở đề" ns7:id="rIdV38"/>
    <x:hyperlink xmlns:ns8="http://schemas.openxmlformats.org/officeDocument/2006/relationships" ref="E16" display="Mở đề" ns8:id="rIdV39"/>
    <x:hyperlink xmlns:ns9="http://schemas.openxmlformats.org/officeDocument/2006/relationships" ref="E17" display="Mở đề" ns9:id="rIdV310"/>
    <x:hyperlink xmlns:ns10="http://schemas.openxmlformats.org/officeDocument/2006/relationships" ref="E18" display="Mở đề" ns10:id="rIdV311"/>
    <x:hyperlink xmlns:ns11="http://schemas.openxmlformats.org/officeDocument/2006/relationships" ref="E19" display="Mở đề" ns11:id="rIdV312"/>
    <x:hyperlink xmlns:ns12="http://schemas.openxmlformats.org/officeDocument/2006/relationships" ref="E20" display="Mở đề" ns12:id="rIdV313"/>
    <x:hyperlink ref="I20" display="Ghi ngày/phút" location="'Chẩn đoán'!H79"/>
    <x:hyperlink xmlns:ns13="http://schemas.openxmlformats.org/officeDocument/2006/relationships" ref="E21" display="Mở đề" ns13:id="rIdV314"/>
    <x:hyperlink xmlns:ns14="http://schemas.openxmlformats.org/officeDocument/2006/relationships" ref="E22" display="Mở đề" ns14:id="rIdV315"/>
    <x:hyperlink xmlns:ns15="http://schemas.openxmlformats.org/officeDocument/2006/relationships" ref="E23" display="Mở đề" ns15:id="rIdV316"/>
    <x:hyperlink xmlns:ns16="http://schemas.openxmlformats.org/officeDocument/2006/relationships" ref="E24" display="Mở đề" ns16:id="rIdV317"/>
    <x:hyperlink xmlns:ns17="http://schemas.openxmlformats.org/officeDocument/2006/relationships" ref="E25" display="Mở đề" ns17:id="rIdV318"/>
    <x:hyperlink xmlns:ns18="http://schemas.openxmlformats.org/officeDocument/2006/relationships" ref="E26" display="Mở đề" ns18:id="rIdV319"/>
    <x:hyperlink xmlns:ns19="http://schemas.openxmlformats.org/officeDocument/2006/relationships" ref="E27" display="Mở đề" ns19:id="rIdV320"/>
    <x:hyperlink xmlns:ns20="http://schemas.openxmlformats.org/officeDocument/2006/relationships" ref="E28" display="Mở đề" ns20:id="rIdV321"/>
    <x:hyperlink xmlns:ns21="http://schemas.openxmlformats.org/officeDocument/2006/relationships" ref="E29" display="Mở đề" ns21:id="rIdV322"/>
    <x:hyperlink xmlns:ns22="http://schemas.openxmlformats.org/officeDocument/2006/relationships" ref="E30" display="Mở đề" ns22:id="rIdV323"/>
    <x:hyperlink ref="I30" display="Ghi ngày/phút" location="'Chẩn đoán'!H80"/>
    <x:hyperlink xmlns:ns23="http://schemas.openxmlformats.org/officeDocument/2006/relationships" ref="E31" display="Mở đề" ns23:id="rIdV324"/>
    <x:hyperlink xmlns:ns24="http://schemas.openxmlformats.org/officeDocument/2006/relationships" ref="E32" display="Mở đề" ns24:id="rIdV325"/>
    <x:hyperlink xmlns:ns25="http://schemas.openxmlformats.org/officeDocument/2006/relationships" ref="E33" display="Mở đề" ns25:id="rIdV326"/>
    <x:hyperlink xmlns:ns26="http://schemas.openxmlformats.org/officeDocument/2006/relationships" ref="E34" display="Mở đề" ns26:id="rIdV327"/>
    <x:hyperlink xmlns:ns27="http://schemas.openxmlformats.org/officeDocument/2006/relationships" ref="E35" display="Mở đề" ns27:id="rIdV328"/>
    <x:hyperlink ref="I35" display="Ghi ngày/phút" location="'Chẩn đoán'!H81"/>
    <x:hyperlink xmlns:ns28="http://schemas.openxmlformats.org/officeDocument/2006/relationships" ref="E36" display="Mở đề" ns28:id="rIdV329"/>
    <x:hyperlink xmlns:ns29="http://schemas.openxmlformats.org/officeDocument/2006/relationships" ref="E37" display="Mở đề" ns29:id="rIdV330"/>
    <x:hyperlink xmlns:ns30="http://schemas.openxmlformats.org/officeDocument/2006/relationships" ref="E38" display="Mở đề" ns30:id="rIdV331"/>
    <x:hyperlink xmlns:ns31="http://schemas.openxmlformats.org/officeDocument/2006/relationships" ref="E39" display="Mở đề" ns31:id="rIdV332"/>
    <x:hyperlink ref="I39" display="Ghi ngày/phút" location="'Chẩn đoán'!H82"/>
    <x:hyperlink xmlns:ns32="http://schemas.openxmlformats.org/officeDocument/2006/relationships" ref="E40" display="Mở đề" ns32:id="rIdV333"/>
    <x:hyperlink xmlns:ns33="http://schemas.openxmlformats.org/officeDocument/2006/relationships" ref="E41" display="Mở đề" ns33:id="rIdV334"/>
    <x:hyperlink xmlns:ns34="http://schemas.openxmlformats.org/officeDocument/2006/relationships" ref="E42" display="Mở đề" ns34:id="rIdV335"/>
    <x:hyperlink xmlns:ns35="http://schemas.openxmlformats.org/officeDocument/2006/relationships" ref="E43" display="Mở đề" ns35:id="rIdV336"/>
    <x:hyperlink ref="I43" display="Ghi ngày/phút" location="'Chẩn đoán'!H83"/>
    <x:hyperlink xmlns:ns36="http://schemas.openxmlformats.org/officeDocument/2006/relationships" ref="E44" display="Mở đề" ns36:id="rIdV337"/>
    <x:hyperlink xmlns:ns37="http://schemas.openxmlformats.org/officeDocument/2006/relationships" ref="E45" display="Mở đề" ns37:id="rIdV338"/>
    <x:hyperlink xmlns:ns38="http://schemas.openxmlformats.org/officeDocument/2006/relationships" ref="E46" display="Mở đề" ns38:id="rIdV339"/>
    <x:hyperlink xmlns:ns39="http://schemas.openxmlformats.org/officeDocument/2006/relationships" ref="E47" display="Mở đề" ns39:id="rIdV340"/>
    <x:hyperlink xmlns:ns40="http://schemas.openxmlformats.org/officeDocument/2006/relationships" ref="E48" display="Mở đề" ns40:id="rIdV341"/>
    <x:hyperlink xmlns:ns41="http://schemas.openxmlformats.org/officeDocument/2006/relationships" ref="E49" display="Mở đề" ns41:id="rIdV342"/>
    <x:hyperlink ref="I49" display="Ghi ngày/phút" location="'Chẩn đoán'!H84"/>
    <x:hyperlink xmlns:ns42="http://schemas.openxmlformats.org/officeDocument/2006/relationships" ref="E50" display="Mở đề" ns42:id="rIdV343"/>
    <x:hyperlink xmlns:ns43="http://schemas.openxmlformats.org/officeDocument/2006/relationships" ref="E51" display="Mở đề" ns43:id="rIdV344"/>
    <x:hyperlink xmlns:ns44="http://schemas.openxmlformats.org/officeDocument/2006/relationships" ref="E52" display="Mở đề" ns44:id="rIdV345"/>
    <x:hyperlink xmlns:ns45="http://schemas.openxmlformats.org/officeDocument/2006/relationships" ref="E53" display="Mở đề" ns45:id="rIdV346"/>
    <x:hyperlink xmlns:ns46="http://schemas.openxmlformats.org/officeDocument/2006/relationships" ref="E54" display="Mở đề" ns46:id="rIdV347"/>
    <x:hyperlink xmlns:ns47="http://schemas.openxmlformats.org/officeDocument/2006/relationships" ref="E55" display="Mở đề" ns47:id="rIdV348"/>
    <x:hyperlink xmlns:ns48="http://schemas.openxmlformats.org/officeDocument/2006/relationships" ref="E56" display="Mở đề" ns48:id="rIdV349"/>
    <x:hyperlink xmlns:ns49="http://schemas.openxmlformats.org/officeDocument/2006/relationships" ref="E57" display="Mở đề" ns49:id="rIdV350"/>
    <x:hyperlink xmlns:ns50="http://schemas.openxmlformats.org/officeDocument/2006/relationships" ref="E58" display="Mở đề" ns50:id="rIdV351"/>
    <x:hyperlink xmlns:ns51="http://schemas.openxmlformats.org/officeDocument/2006/relationships" ref="E59" display="Mở đề" ns51:id="rIdV352"/>
    <x:hyperlink ref="I59" display="Ghi ngày/phút" location="'Chẩn đoán'!H85"/>
    <x:hyperlink xmlns:ns52="http://schemas.openxmlformats.org/officeDocument/2006/relationships" ref="E60" display="Mở đề" ns52:id="rIdV353"/>
    <x:hyperlink xmlns:ns53="http://schemas.openxmlformats.org/officeDocument/2006/relationships" ref="E61" display="Mở đề" ns53:id="rIdV354"/>
    <x:hyperlink xmlns:ns54="http://schemas.openxmlformats.org/officeDocument/2006/relationships" ref="E62" display="Mở đề" ns54:id="rIdV355"/>
    <x:hyperlink xmlns:ns55="http://schemas.openxmlformats.org/officeDocument/2006/relationships" ref="E63" display="Mở đề" ns55:id="rIdV356"/>
    <x:hyperlink ref="I63" display="Ghi ngày/phút" location="'Chẩn đoán'!H86"/>
    <x:hyperlink xmlns:ns56="http://schemas.openxmlformats.org/officeDocument/2006/relationships" ref="E64" display="Mở đề" ns56:id="rIdV357"/>
    <x:hyperlink xmlns:ns57="http://schemas.openxmlformats.org/officeDocument/2006/relationships" ref="E65" display="Mở đề" ns57:id="rIdV358"/>
    <x:hyperlink xmlns:ns58="http://schemas.openxmlformats.org/officeDocument/2006/relationships" ref="E66" display="Mở đề" ns58:id="rIdV359"/>
    <x:hyperlink xmlns:ns59="http://schemas.openxmlformats.org/officeDocument/2006/relationships" ref="E67" display="Mở đề" ns59:id="rIdV360"/>
    <x:hyperlink ref="I67" display="Ghi ngày/phút" location="'Chẩn đoán'!H87"/>
    <x:hyperlink xmlns:ns60="http://schemas.openxmlformats.org/officeDocument/2006/relationships" ref="E68" display="Mở đề" ns60:id="rIdV361"/>
    <x:hyperlink xmlns:ns61="http://schemas.openxmlformats.org/officeDocument/2006/relationships" ref="E69" display="Mở đề" ns61:id="rIdV362"/>
    <x:hyperlink xmlns:ns62="http://schemas.openxmlformats.org/officeDocument/2006/relationships" ref="E70" display="Mở đề" ns62:id="rIdV363"/>
    <x:hyperlink xmlns:ns63="http://schemas.openxmlformats.org/officeDocument/2006/relationships" ref="E71" display="Mở đề" ns63:id="rIdV364"/>
    <x:hyperlink xmlns:ns64="http://schemas.openxmlformats.org/officeDocument/2006/relationships" ref="E72" display="Mở đề" ns64:id="rIdV365"/>
    <x:hyperlink xmlns:ns65="http://schemas.openxmlformats.org/officeDocument/2006/relationships" ref="E73" display="Mở đề" ns65:id="rIdV366"/>
    <x:hyperlink ref="I73" display="Ghi ngày/phút" location="'Chẩn đoán'!H88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14C62"/>
  </x:sheetPr>
  <x:sheetViews>
    <x:sheetView showGridLines="0" workbookViewId="0" tabSelected="1" topLeftCell="A1" zoomScale="90">
      <x:selection activeCell="B13" sqref="B13"/>
    </x:sheetView>
  </x:sheetViews>
  <x:sheetFormatPr defaultRowHeight="15"/>
  <x:cols>
    <x:col min="1" max="1" width="17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5" hidden="0" customWidth="1"/>
    <x:col min="9" max="25" hidden="1" width="14" customWidth="1"/>
  </x:cols>
  <x:sheetData>
    <x:row r="1" ht="28" customHeight="1">
      <x:c r="A1" s="56"/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</x:row>
    <x:row r="2" ht="28" customHeight="1">
      <x:c r="A2" s="57" t="str">
        <x:v>Làm một khối rồi dừng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</x:row>
    <x:row r="3" ht="28" customHeight="1">
      <x:c r="A3" s="56"/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</x:row>
    <x:row r="4" ht="28" customHeight="1">
      <x:c r="A4" s="56" t="str">
        <x:v>1. Mở đề. 2. Ghi lựa chọn. 3. Chọn Xong. 4. Ghi ngày/phút/loại câu.</x:v>
      </x:c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</x:row>
    <x:row r="5" ht="28" customHeight="1">
      <x:c r="A5" s="56" t="str">
        <x:v>Vàng để nhập. 0 = bỏ câu; trống = chưa làm. Không mở khóa khi đang đo.</x:v>
      </x:c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</x:row>
    <x:row r="6" ht="28" customHeight="1">
      <x:c r="A6" s="56" t="str">
        <x:v>Mỗi khối chọn một chế độ. Đã có lịch sử thì giữ nguyên, không ghi đè lần đầu.</x:v>
      </x:c>
      <x:c r="B6" s="56"/>
      <x:c r="C6" s="56"/>
      <x:c r="D6" s="56"/>
      <x:c r="E6" s="56"/>
      <x:c r="F6" s="56"/>
      <x:c r="G6" s="56"/>
      <x:c r="H6" s="56"/>
      <x:c r="I6" s="56"/>
      <x:c r="J6" s="56"/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  <x:c r="X6" s="56"/>
      <x:c r="Y6" s="56"/>
    </x:row>
    <x:row r="7" ht="28" customHeight="1">
      <x:c r="A7" s="58" t="str">
        <x:v>N4-G1</x:v>
      </x:c>
      <x:c r="B7" s="58" t="str">
        <x:v>N4-G2</x:v>
      </x:c>
      <x:c r="C7" s="58" t="str">
        <x:v>N4-V</x:v>
      </x:c>
      <x:c r="D7" s="58" t="str">
        <x:v>N4-R</x:v>
      </x:c>
      <x:c r="E7" s="58" t="str">
        <x:v>N4-L1</x:v>
      </x:c>
      <x:c r="F7" s="58" t="str">
        <x:v>N4-L2</x:v>
      </x:c>
      <x:c r="G7" s="56"/>
      <x:c r="H7" s="56"/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6"/>
      <x:c r="Y7" s="56"/>
    </x:row>
    <x:row r="8" ht="28" customHeight="1">
      <x:c r="A8" s="58" t="str">
        <x:v>N3-G</x:v>
      </x:c>
      <x:c r="B8" s="58" t="str">
        <x:v>N3-V</x:v>
      </x:c>
      <x:c r="C8" s="58" t="str">
        <x:v>N3-R</x:v>
      </x:c>
      <x:c r="D8" s="58" t="str">
        <x:v>N3-L1</x:v>
      </x:c>
      <x:c r="E8" s="58" t="str">
        <x:v>N3-L2</x:v>
      </x:c>
      <x:c r="F8" s="56"/>
      <x:c r="G8" s="56"/>
      <x:c r="H8" s="56"/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</x:row>
    <x:row r="9" ht="28" customHeight="1">
      <x:c r="A9" s="56"/>
      <x:c r="B9" s="56"/>
      <x:c r="C9" s="56"/>
      <x:c r="D9" s="56"/>
      <x:c r="E9" s="56"/>
      <x:c r="F9" s="56"/>
      <x:c r="G9" s="56"/>
      <x:c r="H9" s="56"/>
      <x:c r="I9" s="56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</x:row>
    <x:row r="10" ht="30" customHeight="1">
      <x:c r="A10" s="60" t="str">
        <x:v>N4-G1 · Ngữ pháp · 6 phút làm</x:v>
      </x:c>
      <x:c r="B10" s="60"/>
      <x:c r="C10" s="60"/>
      <x:c r="D10" s="60"/>
      <x:c r="E10" s="60"/>
      <x:c r="F10" s="60"/>
      <x:c r="G10" s="60"/>
      <x:c r="H10" s="56"/>
      <x:c r="I10" s="56"/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</x:row>
    <x:row r="11" ht="28" customHeight="1">
      <x:c r="A11" s="56" t="str">
        <x:v>Nguồn JLPT</x:v>
      </x:c>
      <x:c r="B11" s="58" t="str">
        <x:v>Mở đề</x:v>
      </x:c>
      <x:c r="C11" s="56"/>
      <x:c r="D11" s="56"/>
      <x:c r="E11" s="58" t="str">
        <x:v>Khóa sau khi làm</x:v>
      </x:c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</x:row>
    <x:row r="12" ht="28" customHeight="1">
      <x:c r="A12" s="56" t="str">
        <x:v>Câu</x:v>
      </x:c>
      <x:c r="B12" s="56" t="str">
        <x:v>1</x:v>
      </x:c>
      <x:c r="C12" s="56" t="str">
        <x:v>2</x:v>
      </x:c>
      <x:c r="D12" s="56" t="str">
        <x:v>3</x:v>
      </x:c>
      <x:c r="E12" s="56" t="str">
        <x:v>4</x:v>
      </x:c>
      <x:c r="F12" s="56" t="str">
        <x:v>5</x:v>
      </x:c>
      <x:c r="G12" s="56" t="str">
        <x:v>6</x:v>
      </x:c>
      <x:c r="H12" s="56"/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</x:row>
    <x:row r="13" ht="28" customHeight="1">
      <x:c r="A13" s="56" t="str">
        <x:v>Bạn chọn</x:v>
      </x:c>
      <x:c r="B13" s="63"/>
      <x:c r="C13" s="63"/>
      <x:c r="D13" s="63"/>
      <x:c r="E13" s="63"/>
      <x:c r="F13" s="63"/>
      <x:c r="G13" s="63"/>
      <x:c r="H13" s="56"/>
      <x:c r="I13" s="56"/>
      <x:c r="J13" s="56"/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</x:row>
    <x:row r="14" ht="28" customHeight="1">
      <x:c r="A14" s="56"/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</x:row>
    <x:row r="15" ht="28" customHeight="1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</x:row>
    <x:row r="16" ht="28" customHeight="1">
      <x:c r="A16" s="56" t="str">
        <x:v>Ngày thật</x:v>
      </x:c>
      <x:c r="B16" s="64"/>
      <x:c r="C16" s="56" t="str">
        <x:v>Phút làm</x:v>
      </x:c>
      <x:c r="D16" s="61"/>
      <x:c r="E16" s="56" t="str">
        <x:v>Loại câu</x:v>
      </x:c>
      <x:c r="F16" s="61"/>
      <x:c r="G16" s="56"/>
      <x:c r="H16" s="56"/>
      <x:c r="I16" s="56" t="n">
        <x:f>IF(ISBLANK(B13),0,IF(ISNUMBER(B13),IF(AND(B13&gt;=0,B13&lt;=4,MOD(B13,1)=0),1,-1),-1))</x:f>
        <x:v>0</x:v>
      </x:c>
      <x:c r="J16" s="56" t="n">
        <x:f>IF(I16=1,IF(B13='Chẩn đoán'!N8,1,0),0)</x:f>
        <x:v>0</x:v>
      </x:c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</x:row>
    <x:row r="17" ht="28" customHeight="1">
      <x:c r="A17" s="56" t="str">
        <x:v>Chấm sau giờ</x:v>
      </x:c>
      <x:c r="B17" s="61"/>
      <x:c r="C17" s="56"/>
      <x:c r="D17" s="56" t="str">
        <x:v>Dở dang: để nguyên; chưa chọn Xong.</x:v>
      </x:c>
      <x:c r="E17" s="56"/>
      <x:c r="F17" s="56"/>
      <x:c r="G17" s="56"/>
      <x:c r="H17" s="56"/>
      <x:c r="I17" s="56" t="n">
        <x:f>IF(ISBLANK(C13),0,IF(ISNUMBER(C13),IF(AND(C13&gt;=0,C13&lt;=4,MOD(C13,1)=0),1,-1),-1))</x:f>
        <x:v>0</x:v>
      </x:c>
      <x:c r="J17" s="56" t="n">
        <x:f>IF(I17=1,IF(C13='Chẩn đoán'!N9,1,0),0)</x:f>
        <x:v>0</x:v>
      </x:c>
      <x:c r="K17" s="56"/>
      <x:c r="L17" s="56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</x:row>
    <x:row r="18" ht="32" customHeight="1">
      <x:c r="A18" s="56" t="str">
        <x:v>Trạng thái</x:v>
      </x:c>
      <x:c r="B18" s="66" t="str">
        <x:f>P172</x:f>
        <x:v>Chưa làm</x:v>
      </x:c>
      <x:c r="C18" s="66"/>
      <x:c r="D18" s="66"/>
      <x:c r="E18" s="66"/>
      <x:c r="F18" s="66"/>
      <x:c r="G18" s="66"/>
      <x:c r="H18" s="56"/>
      <x:c r="I18" s="56" t="n">
        <x:f>IF(ISBLANK(D13),0,IF(ISNUMBER(D13),IF(AND(D13&gt;=0,D13&lt;=4,MOD(D13,1)=0),1,-1),-1))</x:f>
        <x:v>0</x:v>
      </x:c>
      <x:c r="J18" s="56" t="n">
        <x:f>IF(I18=1,IF(D13='Chẩn đoán'!N10,1,0),0)</x:f>
        <x:v>0</x:v>
      </x:c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</x:row>
    <x:row r="19" ht="32" customHeight="1">
      <x:c r="A19" s="56" t="str">
        <x:v>Kết quả</x:v>
      </x:c>
      <x:c r="B19" s="66" t="str">
        <x:f>IF(AND(B17="Xong",R172=K172,S172=0),T172&amp;"/"&amp;K172&amp;" đúng; 0 vẫn tính bỏ câu","Đã ghi "&amp;R172&amp;"/"&amp;K172&amp;"; chưa hiện điểm")</x:f>
        <x:v>Đã ghi 0/6; chưa hiện điểm</x:v>
      </x:c>
      <x:c r="C19" s="66"/>
      <x:c r="D19" s="66"/>
      <x:c r="E19" s="66"/>
      <x:c r="F19" s="66"/>
      <x:c r="G19" s="66"/>
      <x:c r="H19" s="56"/>
      <x:c r="I19" s="56" t="n">
        <x:f>IF(ISBLANK(E13),0,IF(ISNUMBER(E13),IF(AND(E13&gt;=0,E13&lt;=4,MOD(E13,1)=0),1,-1),-1))</x:f>
        <x:v>0</x:v>
      </x:c>
      <x:c r="J19" s="56" t="n">
        <x:f>IF(I19=1,IF(E13='Chẩn đoán'!N11,1,0),0)</x:f>
        <x:v>0</x:v>
      </x:c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</x:row>
    <x:row r="20" ht="32" customHeight="1">
      <x:c r="A20" s="56" t="str">
        <x:v>Câu cần sửa</x:v>
      </x:c>
      <x:c r="B20" s="66" t="str">
        <x:f>IF(AND(B17="Xong",R172=K172,S172=0),IF(X172="","Không có câu sai/bỏ",X172),"Chỉ hiện sau khi làm xong")</x:f>
        <x:v>Chỉ hiện sau khi làm xong</x:v>
      </x:c>
      <x:c r="C20" s="66"/>
      <x:c r="D20" s="66"/>
      <x:c r="E20" s="66"/>
      <x:c r="F20" s="66"/>
      <x:c r="G20" s="66"/>
      <x:c r="H20" s="56"/>
      <x:c r="I20" s="56" t="n">
        <x:f>IF(ISBLANK(F13),0,IF(ISNUMBER(F13),IF(AND(F13&gt;=0,F13&lt;=4,MOD(F13,1)=0),1,-1),-1))</x:f>
        <x:v>0</x:v>
      </x:c>
      <x:c r="J20" s="56" t="n">
        <x:f>IF(I20=1,IF(F13='Chẩn đoán'!N12,1,0),0)</x:f>
        <x:v>0</x:v>
      </x:c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</x:row>
    <x:row r="21" ht="28" customHeight="1">
      <x:c r="A21" s="56" t="str">
        <x:v>Lỗi chính</x:v>
      </x:c>
      <x:c r="B21" s="61"/>
      <x:c r="C21" s="56"/>
      <x:c r="D21" s="56"/>
      <x:c r="E21" s="58" t="str">
        <x:v>Xem tuần</x:v>
      </x:c>
      <x:c r="F21" s="56"/>
      <x:c r="G21" s="56"/>
      <x:c r="H21" s="56"/>
      <x:c r="I21" s="56" t="n">
        <x:f>IF(ISBLANK(G13),0,IF(ISNUMBER(G13),IF(AND(G13&gt;=0,G13&lt;=4,MOD(G13,1)=0),1,-1),-1))</x:f>
        <x:v>0</x:v>
      </x:c>
      <x:c r="J21" s="56" t="n">
        <x:f>IF(I21=1,IF(G13='Chẩn đoán'!N13,1,0),0)</x:f>
        <x:v>0</x:v>
      </x:c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</x:row>
    <x:row r="22" ht="32" customHeight="1">
      <x:c r="A22" s="56" t="str">
        <x:v>Tiếp theo</x:v>
      </x:c>
      <x:c r="B22" s="66" t="str">
        <x:f>IF(P172="Đã chấm","Chọn 1 lỗi để chữa 5-10 phút rồi dừng.",IF(P172="Trùng hai chế độ","Giữ lịch sử ở Chẩn đoán; xóa bản nhập trùng ở đây.","Hoàn tất khi đủ sức; không ép làm khối tiếp."))</x:f>
        <x:v>Hoàn tất khi đủ sức; không ép làm khối tiếp.</x:v>
      </x:c>
      <x:c r="C22" s="66"/>
      <x:c r="D22" s="66"/>
      <x:c r="E22" s="66"/>
      <x:c r="F22" s="66"/>
      <x:c r="G22" s="66"/>
      <x:c r="H22" s="56"/>
      <x:c r="I22" s="56" t="n">
        <x:f>IF(ISBLANK(B27),0,IF(ISNUMBER(B27),IF(AND(B27&gt;=0,B27&lt;=4,MOD(B27,1)=0),1,-1),-1))</x:f>
        <x:v>0</x:v>
      </x:c>
      <x:c r="J22" s="56" t="n">
        <x:f>IF(I22=1,IF(B27='Chẩn đoán'!N14,1,0),0)</x:f>
        <x:v>0</x:v>
      </x:c>
      <x:c r="K22" s="56"/>
      <x:c r="L22" s="56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</x:row>
    <x:row r="23" ht="28" customHeight="1">
      <x:c r="A23" s="56"/>
      <x:c r="B23" s="56"/>
      <x:c r="C23" s="56"/>
      <x:c r="D23" s="56"/>
      <x:c r="E23" s="56"/>
      <x:c r="F23" s="56"/>
      <x:c r="G23" s="56"/>
      <x:c r="H23" s="56"/>
      <x:c r="I23" s="56" t="n">
        <x:f>IF(ISBLANK(C27),0,IF(ISNUMBER(C27),IF(AND(C27&gt;=0,C27&lt;=4,MOD(C27,1)=0),1,-1),-1))</x:f>
        <x:v>0</x:v>
      </x:c>
      <x:c r="J23" s="56" t="n">
        <x:f>IF(I23=1,IF(C27='Chẩn đoán'!N15,1,0),0)</x:f>
        <x:v>0</x:v>
      </x:c>
      <x:c r="K23" s="56"/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</x:row>
    <x:row r="24" ht="30" customHeight="1">
      <x:c r="A24" s="60" t="str">
        <x:v>N4-G2 · Ngữ pháp · 6 phút làm</x:v>
      </x:c>
      <x:c r="B24" s="60"/>
      <x:c r="C24" s="60"/>
      <x:c r="D24" s="60"/>
      <x:c r="E24" s="60"/>
      <x:c r="F24" s="60"/>
      <x:c r="G24" s="60"/>
      <x:c r="H24" s="56"/>
      <x:c r="I24" s="56" t="n">
        <x:f>IF(ISBLANK(D27),0,IF(ISNUMBER(D27),IF(AND(D27&gt;=0,D27&lt;=4,MOD(D27,1)=0),1,-1),-1))</x:f>
        <x:v>0</x:v>
      </x:c>
      <x:c r="J24" s="56" t="n">
        <x:f>IF(I24=1,IF(D27='Chẩn đoán'!N16,1,0),0)</x:f>
        <x:v>0</x:v>
      </x:c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</x:row>
    <x:row r="25" ht="28" customHeight="1">
      <x:c r="A25" s="56" t="str">
        <x:v>Nguồn JLPT</x:v>
      </x:c>
      <x:c r="B25" s="58" t="str">
        <x:v>Mở đề</x:v>
      </x:c>
      <x:c r="C25" s="56"/>
      <x:c r="D25" s="56"/>
      <x:c r="E25" s="58" t="str">
        <x:v>Khóa sau khi làm</x:v>
      </x:c>
      <x:c r="F25" s="56"/>
      <x:c r="G25" s="56"/>
      <x:c r="H25" s="56"/>
      <x:c r="I25" s="56" t="n">
        <x:f>IF(ISBLANK(E27),0,IF(ISNUMBER(E27),IF(AND(E27&gt;=0,E27&lt;=4,MOD(E27,1)=0),1,-1),-1))</x:f>
        <x:v>0</x:v>
      </x:c>
      <x:c r="J25" s="56" t="n">
        <x:f>IF(I25=1,IF(E27='Chẩn đoán'!N17,1,0),0)</x:f>
        <x:v>0</x:v>
      </x:c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</x:row>
    <x:row r="26" ht="28" customHeight="1">
      <x:c r="A26" s="56" t="str">
        <x:v>Câu</x:v>
      </x:c>
      <x:c r="B26" s="56" t="str">
        <x:v>16</x:v>
      </x:c>
      <x:c r="C26" s="56" t="str">
        <x:v>17</x:v>
      </x:c>
      <x:c r="D26" s="56" t="str">
        <x:v>21</x:v>
      </x:c>
      <x:c r="E26" s="56" t="str">
        <x:v>22</x:v>
      </x:c>
      <x:c r="F26" s="56" t="str">
        <x:v>23</x:v>
      </x:c>
      <x:c r="G26" s="56" t="str">
        <x:v>24</x:v>
      </x:c>
      <x:c r="H26" s="56"/>
      <x:c r="I26" s="56" t="n">
        <x:f>IF(ISBLANK(F27),0,IF(ISNUMBER(F27),IF(AND(F27&gt;=0,F27&lt;=4,MOD(F27,1)=0),1,-1),-1))</x:f>
        <x:v>0</x:v>
      </x:c>
      <x:c r="J26" s="56" t="n">
        <x:f>IF(I26=1,IF(F27='Chẩn đoán'!N18,1,0),0)</x:f>
        <x:v>0</x:v>
      </x:c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56"/>
    </x:row>
    <x:row r="27" ht="28" customHeight="1">
      <x:c r="A27" s="56" t="str">
        <x:v>Bạn chọn</x:v>
      </x:c>
      <x:c r="B27" s="63"/>
      <x:c r="C27" s="63"/>
      <x:c r="D27" s="63"/>
      <x:c r="E27" s="63"/>
      <x:c r="F27" s="63"/>
      <x:c r="G27" s="63"/>
      <x:c r="H27" s="56"/>
      <x:c r="I27" s="56" t="n">
        <x:f>IF(ISBLANK(G27),0,IF(ISNUMBER(G27),IF(AND(G27&gt;=0,G27&lt;=4,MOD(G27,1)=0),1,-1),-1))</x:f>
        <x:v>0</x:v>
      </x:c>
      <x:c r="J27" s="56" t="n">
        <x:f>IF(I27=1,IF(G27='Chẩn đoán'!N19,1,0),0)</x:f>
        <x:v>0</x:v>
      </x:c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56"/>
    </x:row>
    <x:row r="28" ht="28" customHeight="1">
      <x:c r="A28" s="56" t="str">
        <x:v>Câu tiếp</x:v>
      </x:c>
      <x:c r="B28" s="56" t="str">
        <x:v>25</x:v>
      </x:c>
      <x:c r="C28" s="56"/>
      <x:c r="D28" s="56"/>
      <x:c r="E28" s="56"/>
      <x:c r="F28" s="56"/>
      <x:c r="G28" s="56"/>
      <x:c r="H28" s="56"/>
      <x:c r="I28" s="56" t="n">
        <x:f>IF(ISBLANK(B29),0,IF(ISNUMBER(B29),IF(AND(B29&gt;=0,B29&lt;=4,MOD(B29,1)=0),1,-1),-1))</x:f>
        <x:v>0</x:v>
      </x:c>
      <x:c r="J28" s="56" t="n">
        <x:f>IF(I28=1,IF(B29='Chẩn đoán'!N20,1,0),0)</x:f>
        <x:v>0</x:v>
      </x:c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56"/>
    </x:row>
    <x:row r="29" ht="28" customHeight="1">
      <x:c r="A29" s="56" t="str">
        <x:v>Bạn chọn</x:v>
      </x:c>
      <x:c r="B29" s="63"/>
      <x:c r="C29" s="56"/>
      <x:c r="D29" s="56"/>
      <x:c r="E29" s="56"/>
      <x:c r="F29" s="56"/>
      <x:c r="G29" s="56"/>
      <x:c r="H29" s="56"/>
      <x:c r="I29" s="56" t="n">
        <x:f>IF(ISBLANK(B41),0,IF(ISNUMBER(B41),IF(AND(B41&gt;=0,B41&lt;=4,MOD(B41,1)=0),1,-1),-1))</x:f>
        <x:v>0</x:v>
      </x:c>
      <x:c r="J29" s="56" t="n">
        <x:f>IF(I29=1,IF(B41='Chẩn đoán'!N21,1,0),0)</x:f>
        <x:v>0</x:v>
      </x:c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56"/>
    </x:row>
    <x:row r="30" ht="28" customHeight="1">
      <x:c r="A30" s="56" t="str">
        <x:v>Ngày thật</x:v>
      </x:c>
      <x:c r="B30" s="64"/>
      <x:c r="C30" s="56" t="str">
        <x:v>Phút làm</x:v>
      </x:c>
      <x:c r="D30" s="61"/>
      <x:c r="E30" s="56" t="str">
        <x:v>Loại câu</x:v>
      </x:c>
      <x:c r="F30" s="61"/>
      <x:c r="G30" s="56"/>
      <x:c r="H30" s="56"/>
      <x:c r="I30" s="56" t="n">
        <x:f>IF(ISBLANK(C41),0,IF(ISNUMBER(C41),IF(AND(C41&gt;=0,C41&lt;=4,MOD(C41,1)=0),1,-1),-1))</x:f>
        <x:v>0</x:v>
      </x:c>
      <x:c r="J30" s="56" t="n">
        <x:f>IF(I30=1,IF(C41='Chẩn đoán'!N22,1,0),0)</x:f>
        <x:v>0</x:v>
      </x:c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6"/>
    </x:row>
    <x:row r="31" ht="28" customHeight="1">
      <x:c r="A31" s="56" t="str">
        <x:v>Chấm sau giờ</x:v>
      </x:c>
      <x:c r="B31" s="61"/>
      <x:c r="C31" s="56"/>
      <x:c r="D31" s="56" t="str">
        <x:v>Dở dang: để nguyên; chưa chọn Xong.</x:v>
      </x:c>
      <x:c r="E31" s="56"/>
      <x:c r="F31" s="56"/>
      <x:c r="G31" s="56"/>
      <x:c r="H31" s="56"/>
      <x:c r="I31" s="56" t="n">
        <x:f>IF(ISBLANK(D41),0,IF(ISNUMBER(D41),IF(AND(D41&gt;=0,D41&lt;=4,MOD(D41,1)=0),1,-1),-1))</x:f>
        <x:v>0</x:v>
      </x:c>
      <x:c r="J31" s="56" t="n">
        <x:f>IF(I31=1,IF(D41='Chẩn đoán'!N23,1,0),0)</x:f>
        <x:v>0</x:v>
      </x:c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6"/>
    </x:row>
    <x:row r="32" ht="32" customHeight="1">
      <x:c r="A32" s="56" t="str">
        <x:v>Trạng thái</x:v>
      </x:c>
      <x:c r="B32" s="66" t="str">
        <x:f>P173</x:f>
        <x:v>Chưa làm</x:v>
      </x:c>
      <x:c r="C32" s="66"/>
      <x:c r="D32" s="66"/>
      <x:c r="E32" s="66"/>
      <x:c r="F32" s="66"/>
      <x:c r="G32" s="66"/>
      <x:c r="H32" s="56"/>
      <x:c r="I32" s="56" t="n">
        <x:f>IF(ISBLANK(E41),0,IF(ISNUMBER(E41),IF(AND(E41&gt;=0,E41&lt;=4,MOD(E41,1)=0),1,-1),-1))</x:f>
        <x:v>0</x:v>
      </x:c>
      <x:c r="J32" s="56" t="n">
        <x:f>IF(I32=1,IF(E41='Chẩn đoán'!N24,1,0),0)</x:f>
        <x:v>0</x:v>
      </x:c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56"/>
    </x:row>
    <x:row r="33" ht="32" customHeight="1">
      <x:c r="A33" s="56" t="str">
        <x:v>Kết quả</x:v>
      </x:c>
      <x:c r="B33" s="66" t="str">
        <x:f>IF(AND(B31="Xong",R173=K173,S173=0),T173&amp;"/"&amp;K173&amp;" đúng; 0 vẫn tính bỏ câu","Đã ghi "&amp;R173&amp;"/"&amp;K173&amp;"; chưa hiện điểm")</x:f>
        <x:v>Đã ghi 0/7; chưa hiện điểm</x:v>
      </x:c>
      <x:c r="C33" s="66"/>
      <x:c r="D33" s="66"/>
      <x:c r="E33" s="66"/>
      <x:c r="F33" s="66"/>
      <x:c r="G33" s="66"/>
      <x:c r="H33" s="56"/>
      <x:c r="I33" s="56" t="n">
        <x:f>IF(ISBLANK(F41),0,IF(ISNUMBER(F41),IF(AND(F41&gt;=0,F41&lt;=4,MOD(F41,1)=0),1,-1),-1))</x:f>
        <x:v>0</x:v>
      </x:c>
      <x:c r="J33" s="56" t="n">
        <x:f>IF(I33=1,IF(F41='Chẩn đoán'!N25,1,0),0)</x:f>
        <x:v>0</x:v>
      </x:c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56"/>
    </x:row>
    <x:row r="34" ht="32" customHeight="1">
      <x:c r="A34" s="56" t="str">
        <x:v>Câu cần sửa</x:v>
      </x:c>
      <x:c r="B34" s="66" t="str">
        <x:f>IF(AND(B31="Xong",R173=K173,S173=0),IF(X173="","Không có câu sai/bỏ",X173),"Chỉ hiện sau khi làm xong")</x:f>
        <x:v>Chỉ hiện sau khi làm xong</x:v>
      </x:c>
      <x:c r="C34" s="66"/>
      <x:c r="D34" s="66"/>
      <x:c r="E34" s="66"/>
      <x:c r="F34" s="66"/>
      <x:c r="G34" s="66"/>
      <x:c r="H34" s="56"/>
      <x:c r="I34" s="56" t="n">
        <x:f>IF(ISBLANK(G41),0,IF(ISNUMBER(G41),IF(AND(G41&gt;=0,G41&lt;=4,MOD(G41,1)=0),1,-1),-1))</x:f>
        <x:v>0</x:v>
      </x:c>
      <x:c r="J34" s="56" t="n">
        <x:f>IF(I34=1,IF(G41='Chẩn đoán'!N26,1,0),0)</x:f>
        <x:v>0</x:v>
      </x:c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56"/>
    </x:row>
    <x:row r="35" ht="28" customHeight="1">
      <x:c r="A35" s="56" t="str">
        <x:v>Lỗi chính</x:v>
      </x:c>
      <x:c r="B35" s="61"/>
      <x:c r="C35" s="56"/>
      <x:c r="D35" s="56"/>
      <x:c r="E35" s="58" t="str">
        <x:v>Xem tuần</x:v>
      </x:c>
      <x:c r="F35" s="56"/>
      <x:c r="G35" s="56"/>
      <x:c r="H35" s="56"/>
      <x:c r="I35" s="56" t="n">
        <x:f>IF(ISBLANK(B43),0,IF(ISNUMBER(B43),IF(AND(B43&gt;=0,B43&lt;=4,MOD(B43,1)=0),1,-1),-1))</x:f>
        <x:v>0</x:v>
      </x:c>
      <x:c r="J35" s="56" t="n">
        <x:f>IF(I35=1,IF(B43='Chẩn đoán'!N27,1,0),0)</x:f>
        <x:v>0</x:v>
      </x:c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56"/>
    </x:row>
    <x:row r="36" ht="32" customHeight="1">
      <x:c r="A36" s="56" t="str">
        <x:v>Tiếp theo</x:v>
      </x:c>
      <x:c r="B36" s="66" t="str">
        <x:f>IF(P173="Đã chấm","Chọn 1 lỗi để chữa 5-10 phút rồi dừng.",IF(P173="Trùng hai chế độ","Giữ lịch sử ở Chẩn đoán; xóa bản nhập trùng ở đây.","Hoàn tất khi đủ sức; không ép làm khối tiếp."))</x:f>
        <x:v>Hoàn tất khi đủ sức; không ép làm khối tiếp.</x:v>
      </x:c>
      <x:c r="C36" s="66"/>
      <x:c r="D36" s="66"/>
      <x:c r="E36" s="66"/>
      <x:c r="F36" s="66"/>
      <x:c r="G36" s="66"/>
      <x:c r="H36" s="56"/>
      <x:c r="I36" s="56" t="n">
        <x:f>IF(ISBLANK(C43),0,IF(ISNUMBER(C43),IF(AND(C43&gt;=0,C43&lt;=4,MOD(C43,1)=0),1,-1),-1))</x:f>
        <x:v>0</x:v>
      </x:c>
      <x:c r="J36" s="56" t="n">
        <x:f>IF(I36=1,IF(C43='Chẩn đoán'!N28,1,0),0)</x:f>
        <x:v>0</x:v>
      </x:c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6"/>
      <x:c r="Y36" s="56"/>
    </x:row>
    <x:row r="37" ht="28" customHeight="1">
      <x:c r="A37" s="56"/>
      <x:c r="B37" s="56"/>
      <x:c r="C37" s="56"/>
      <x:c r="D37" s="56"/>
      <x:c r="E37" s="56"/>
      <x:c r="F37" s="56"/>
      <x:c r="G37" s="56"/>
      <x:c r="H37" s="56"/>
      <x:c r="I37" s="56" t="n">
        <x:f>IF(ISBLANK(D43),0,IF(ISNUMBER(D43),IF(AND(D43&gt;=0,D43&lt;=4,MOD(D43,1)=0),1,-1),-1))</x:f>
        <x:v>0</x:v>
      </x:c>
      <x:c r="J37" s="56" t="n">
        <x:f>IF(I37=1,IF(D43='Chẩn đoán'!N29,1,0),0)</x:f>
        <x:v>0</x:v>
      </x:c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6"/>
      <x:c r="Y37" s="56"/>
    </x:row>
    <x:row r="38" ht="30" customHeight="1">
      <x:c r="A38" s="60" t="str">
        <x:v>N4-V · Từ và kanji · 8 phút làm</x:v>
      </x:c>
      <x:c r="B38" s="60"/>
      <x:c r="C38" s="60"/>
      <x:c r="D38" s="60"/>
      <x:c r="E38" s="60"/>
      <x:c r="F38" s="60"/>
      <x:c r="G38" s="60"/>
      <x:c r="H38" s="56"/>
      <x:c r="I38" s="56" t="n">
        <x:f>IF(ISBLANK(E43),0,IF(ISNUMBER(E43),IF(AND(E43&gt;=0,E43&lt;=4,MOD(E43,1)=0),1,-1),-1))</x:f>
        <x:v>0</x:v>
      </x:c>
      <x:c r="J38" s="56" t="n">
        <x:f>IF(I38=1,IF(E43='Chẩn đoán'!N30,1,0),0)</x:f>
        <x:v>0</x:v>
      </x:c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6"/>
      <x:c r="Y38" s="56"/>
    </x:row>
    <x:row r="39" ht="28" customHeight="1">
      <x:c r="A39" s="56" t="str">
        <x:v>Nguồn JLPT</x:v>
      </x:c>
      <x:c r="B39" s="58" t="str">
        <x:v>Mở đề</x:v>
      </x:c>
      <x:c r="C39" s="56"/>
      <x:c r="D39" s="56"/>
      <x:c r="E39" s="58" t="str">
        <x:v>Khóa sau khi làm</x:v>
      </x:c>
      <x:c r="F39" s="56"/>
      <x:c r="G39" s="56"/>
      <x:c r="H39" s="56"/>
      <x:c r="I39" s="56" t="n">
        <x:f>IF(ISBLANK(B55),0,IF(ISNUMBER(B55),IF(AND(B55&gt;=0,B55&lt;=4,MOD(B55,1)=0),1,-1),-1))</x:f>
        <x:v>0</x:v>
      </x:c>
      <x:c r="J39" s="56" t="n">
        <x:f>IF(I39=1,IF(B55='Chẩn đoán'!N31,1,0),0)</x:f>
        <x:v>0</x:v>
      </x:c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6"/>
      <x:c r="Y39" s="56"/>
    </x:row>
    <x:row r="40" ht="28" customHeight="1">
      <x:c r="A40" s="56" t="str">
        <x:v>Câu</x:v>
      </x:c>
      <x:c r="B40" s="56" t="str">
        <x:v>1</x:v>
      </x:c>
      <x:c r="C40" s="56" t="str">
        <x:v>2</x:v>
      </x:c>
      <x:c r="D40" s="56" t="str">
        <x:v>10</x:v>
      </x:c>
      <x:c r="E40" s="56" t="str">
        <x:v>11</x:v>
      </x:c>
      <x:c r="F40" s="56" t="str">
        <x:v>16</x:v>
      </x:c>
      <x:c r="G40" s="56" t="str">
        <x:v>17</x:v>
      </x:c>
      <x:c r="H40" s="56"/>
      <x:c r="I40" s="56" t="n">
        <x:f>IF(ISBLANK(C55),0,IF(ISNUMBER(C55),IF(AND(C55&gt;=0,C55&lt;=4,MOD(C55,1)=0),1,-1),-1))</x:f>
        <x:v>0</x:v>
      </x:c>
      <x:c r="J40" s="56" t="n">
        <x:f>IF(I40=1,IF(C55='Chẩn đoán'!N32,1,0),0)</x:f>
        <x:v>0</x:v>
      </x:c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6"/>
      <x:c r="Y40" s="56"/>
    </x:row>
    <x:row r="41" ht="28" customHeight="1">
      <x:c r="A41" s="56" t="str">
        <x:v>Bạn chọn</x:v>
      </x:c>
      <x:c r="B41" s="63"/>
      <x:c r="C41" s="63"/>
      <x:c r="D41" s="63"/>
      <x:c r="E41" s="63"/>
      <x:c r="F41" s="63"/>
      <x:c r="G41" s="63"/>
      <x:c r="H41" s="56"/>
      <x:c r="I41" s="56" t="n">
        <x:f>IF(ISBLANK(D55),0,IF(ISNUMBER(D55),IF(AND(D55&gt;=0,D55&lt;=4,MOD(D55,1)=0),1,-1),-1))</x:f>
        <x:v>0</x:v>
      </x:c>
      <x:c r="J41" s="56" t="n">
        <x:f>IF(I41=1,IF(D55='Chẩn đoán'!N33,1,0),0)</x:f>
        <x:v>0</x:v>
      </x:c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6"/>
      <x:c r="Y41" s="56"/>
    </x:row>
    <x:row r="42" ht="28" customHeight="1">
      <x:c r="A42" s="56" t="str">
        <x:v>Câu tiếp</x:v>
      </x:c>
      <x:c r="B42" s="56" t="str">
        <x:v>26</x:v>
      </x:c>
      <x:c r="C42" s="56" t="str">
        <x:v>27</x:v>
      </x:c>
      <x:c r="D42" s="56" t="str">
        <x:v>31</x:v>
      </x:c>
      <x:c r="E42" s="56" t="str">
        <x:v>32</x:v>
      </x:c>
      <x:c r="F42" s="56"/>
      <x:c r="G42" s="56"/>
      <x:c r="H42" s="56"/>
      <x:c r="I42" s="56" t="n">
        <x:f>IF(ISBLANK(E55),0,IF(ISNUMBER(E55),IF(AND(E55&gt;=0,E55&lt;=4,MOD(E55,1)=0),1,-1),-1))</x:f>
        <x:v>0</x:v>
      </x:c>
      <x:c r="J42" s="56" t="n">
        <x:f>IF(I42=1,IF(E55='Chẩn đoán'!N34,1,0),0)</x:f>
        <x:v>0</x:v>
      </x:c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6"/>
      <x:c r="Y42" s="56"/>
    </x:row>
    <x:row r="43" ht="28" customHeight="1">
      <x:c r="A43" s="56" t="str">
        <x:v>Bạn chọn</x:v>
      </x:c>
      <x:c r="B43" s="63"/>
      <x:c r="C43" s="63"/>
      <x:c r="D43" s="63"/>
      <x:c r="E43" s="63"/>
      <x:c r="F43" s="56"/>
      <x:c r="G43" s="56"/>
      <x:c r="H43" s="56"/>
      <x:c r="I43" s="56" t="n">
        <x:f>IF(ISBLANK(F55),0,IF(ISNUMBER(F55),IF(AND(F55&gt;=0,F55&lt;=4,MOD(F55,1)=0),1,-1),-1))</x:f>
        <x:v>0</x:v>
      </x:c>
      <x:c r="J43" s="56" t="n">
        <x:f>IF(I43=1,IF(F55='Chẩn đoán'!N35,1,0),0)</x:f>
        <x:v>0</x:v>
      </x:c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</x:row>
    <x:row r="44" ht="28" customHeight="1">
      <x:c r="A44" s="56" t="str">
        <x:v>Ngày thật</x:v>
      </x:c>
      <x:c r="B44" s="64"/>
      <x:c r="C44" s="56" t="str">
        <x:v>Phút làm</x:v>
      </x:c>
      <x:c r="D44" s="61"/>
      <x:c r="E44" s="56" t="str">
        <x:v>Loại câu</x:v>
      </x:c>
      <x:c r="F44" s="61"/>
      <x:c r="G44" s="56"/>
      <x:c r="H44" s="56"/>
      <x:c r="I44" s="56" t="n">
        <x:f>IF(ISBLANK(B69),0,IF(ISNUMBER(B69),IF(AND(B69&gt;=0,B69&lt;=4,MOD(B69,1)=0),1,-1),-1))</x:f>
        <x:v>0</x:v>
      </x:c>
      <x:c r="J44" s="56" t="n">
        <x:f>IF(I44=1,IF(B69='Chẩn đoán'!N36,1,0),0)</x:f>
        <x:v>0</x:v>
      </x:c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6"/>
      <x:c r="Y44" s="56"/>
    </x:row>
    <x:row r="45" ht="28" customHeight="1">
      <x:c r="A45" s="56" t="str">
        <x:v>Chấm sau giờ</x:v>
      </x:c>
      <x:c r="B45" s="61"/>
      <x:c r="C45" s="56"/>
      <x:c r="D45" s="56" t="str">
        <x:v>Dở dang: để nguyên; chưa chọn Xong.</x:v>
      </x:c>
      <x:c r="E45" s="56"/>
      <x:c r="F45" s="56"/>
      <x:c r="G45" s="56"/>
      <x:c r="H45" s="56"/>
      <x:c r="I45" s="56" t="n">
        <x:f>IF(ISBLANK(C69),0,IF(ISNUMBER(C69),IF(AND(C69&gt;=0,C69&lt;=4,MOD(C69,1)=0),1,-1),-1))</x:f>
        <x:v>0</x:v>
      </x:c>
      <x:c r="J45" s="56" t="n">
        <x:f>IF(I45=1,IF(C69='Chẩn đoán'!N37,1,0),0)</x:f>
        <x:v>0</x:v>
      </x:c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6"/>
      <x:c r="Y45" s="56"/>
    </x:row>
    <x:row r="46" ht="32" customHeight="1">
      <x:c r="A46" s="56" t="str">
        <x:v>Trạng thái</x:v>
      </x:c>
      <x:c r="B46" s="66" t="str">
        <x:f>P174</x:f>
        <x:v>Chưa làm</x:v>
      </x:c>
      <x:c r="C46" s="66"/>
      <x:c r="D46" s="66"/>
      <x:c r="E46" s="66"/>
      <x:c r="F46" s="66"/>
      <x:c r="G46" s="66"/>
      <x:c r="H46" s="56"/>
      <x:c r="I46" s="56" t="n">
        <x:f>IF(ISBLANK(D69),0,IF(ISNUMBER(D69),IF(AND(D69&gt;=0,D69&lt;=4,MOD(D69,1)=0),1,-1),-1))</x:f>
        <x:v>0</x:v>
      </x:c>
      <x:c r="J46" s="56" t="n">
        <x:f>IF(I46=1,IF(D69='Chẩn đoán'!N38,1,0),0)</x:f>
        <x:v>0</x:v>
      </x:c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6"/>
      <x:c r="Y46" s="56"/>
    </x:row>
    <x:row r="47" ht="32" customHeight="1">
      <x:c r="A47" s="56" t="str">
        <x:v>Kết quả</x:v>
      </x:c>
      <x:c r="B47" s="66" t="str">
        <x:f>IF(AND(B45="Xong",R174=K174,S174=0),T174&amp;"/"&amp;K174&amp;" đúng; 0 vẫn tính bỏ câu","Đã ghi "&amp;R174&amp;"/"&amp;K174&amp;"; chưa hiện điểm")</x:f>
        <x:v>Đã ghi 0/10; chưa hiện điểm</x:v>
      </x:c>
      <x:c r="C47" s="66"/>
      <x:c r="D47" s="66"/>
      <x:c r="E47" s="66"/>
      <x:c r="F47" s="66"/>
      <x:c r="G47" s="66"/>
      <x:c r="H47" s="56"/>
      <x:c r="I47" s="56" t="n">
        <x:f>IF(ISBLANK(E69),0,IF(ISNUMBER(E69),IF(AND(E69&gt;=0,E69&lt;=4,MOD(E69,1)=0),1,-1),-1))</x:f>
        <x:v>0</x:v>
      </x:c>
      <x:c r="J47" s="56" t="n">
        <x:f>IF(I47=1,IF(E69='Chẩn đoán'!N39,1,0),0)</x:f>
        <x:v>0</x:v>
      </x:c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6"/>
      <x:c r="Y47" s="56"/>
    </x:row>
    <x:row r="48" ht="32" customHeight="1">
      <x:c r="A48" s="56" t="str">
        <x:v>Câu cần sửa</x:v>
      </x:c>
      <x:c r="B48" s="66" t="str">
        <x:f>IF(AND(B45="Xong",R174=K174,S174=0),IF(X174="","Không có câu sai/bỏ",X174),"Chỉ hiện sau khi làm xong")</x:f>
        <x:v>Chỉ hiện sau khi làm xong</x:v>
      </x:c>
      <x:c r="C48" s="66"/>
      <x:c r="D48" s="66"/>
      <x:c r="E48" s="66"/>
      <x:c r="F48" s="66"/>
      <x:c r="G48" s="66"/>
      <x:c r="H48" s="56"/>
      <x:c r="I48" s="56" t="n">
        <x:f>IF(ISBLANK(B83),0,IF(ISNUMBER(B83),IF(AND(B83&gt;=0,B83&lt;=3,MOD(B83,1)=0),1,-1),-1))</x:f>
        <x:v>0</x:v>
      </x:c>
      <x:c r="J48" s="56" t="n">
        <x:f>IF(I48=1,IF(B83='Chẩn đoán'!N40,1,0),0)</x:f>
        <x:v>0</x:v>
      </x:c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6"/>
      <x:c r="Y48" s="56"/>
    </x:row>
    <x:row r="49" ht="28" customHeight="1">
      <x:c r="A49" s="56" t="str">
        <x:v>Lỗi chính</x:v>
      </x:c>
      <x:c r="B49" s="61"/>
      <x:c r="C49" s="56"/>
      <x:c r="D49" s="56"/>
      <x:c r="E49" s="58" t="str">
        <x:v>Xem tuần</x:v>
      </x:c>
      <x:c r="F49" s="56"/>
      <x:c r="G49" s="56"/>
      <x:c r="H49" s="56"/>
      <x:c r="I49" s="56" t="n">
        <x:f>IF(ISBLANK(C83),0,IF(ISNUMBER(C83),IF(AND(C83&gt;=0,C83&lt;=3,MOD(C83,1)=0),1,-1),-1))</x:f>
        <x:v>0</x:v>
      </x:c>
      <x:c r="J49" s="56" t="n">
        <x:f>IF(I49=1,IF(C83='Chẩn đoán'!N41,1,0),0)</x:f>
        <x:v>0</x:v>
      </x:c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6"/>
      <x:c r="Y49" s="56"/>
    </x:row>
    <x:row r="50" ht="32" customHeight="1">
      <x:c r="A50" s="56" t="str">
        <x:v>Tiếp theo</x:v>
      </x:c>
      <x:c r="B50" s="66" t="str">
        <x:f>IF(P174="Đã chấm","Chọn 1 lỗi để chữa 5-10 phút rồi dừng.",IF(P174="Trùng hai chế độ","Giữ lịch sử ở Chẩn đoán; xóa bản nhập trùng ở đây.","Hoàn tất khi đủ sức; không ép làm khối tiếp."))</x:f>
        <x:v>Hoàn tất khi đủ sức; không ép làm khối tiếp.</x:v>
      </x:c>
      <x:c r="C50" s="66"/>
      <x:c r="D50" s="66"/>
      <x:c r="E50" s="66"/>
      <x:c r="F50" s="66"/>
      <x:c r="G50" s="66"/>
      <x:c r="H50" s="56"/>
      <x:c r="I50" s="56" t="n">
        <x:f>IF(ISBLANK(D83),0,IF(ISNUMBER(D83),IF(AND(D83&gt;=0,D83&lt;=3,MOD(D83,1)=0),1,-1),-1))</x:f>
        <x:v>0</x:v>
      </x:c>
      <x:c r="J50" s="56" t="n">
        <x:f>IF(I50=1,IF(D83='Chẩn đoán'!N42,1,0),0)</x:f>
        <x:v>0</x:v>
      </x:c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</x:row>
    <x:row r="51" ht="28" customHeight="1">
      <x:c r="A51" s="56"/>
      <x:c r="B51" s="56"/>
      <x:c r="C51" s="56"/>
      <x:c r="D51" s="56"/>
      <x:c r="E51" s="56"/>
      <x:c r="F51" s="56"/>
      <x:c r="G51" s="56"/>
      <x:c r="H51" s="56"/>
      <x:c r="I51" s="56" t="n">
        <x:f>IF(ISBLANK(E83),0,IF(ISNUMBER(E83),IF(AND(E83&gt;=0,E83&lt;=3,MOD(E83,1)=0),1,-1),-1))</x:f>
        <x:v>0</x:v>
      </x:c>
      <x:c r="J51" s="56" t="n">
        <x:f>IF(I51=1,IF(E83='Chẩn đoán'!N43,1,0),0)</x:f>
        <x:v>0</x:v>
      </x:c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6"/>
      <x:c r="Y51" s="56"/>
    </x:row>
    <x:row r="52" ht="30" customHeight="1">
      <x:c r="A52" s="60" t="str">
        <x:v>N4-R · Đọc · 15 phút làm</x:v>
      </x:c>
      <x:c r="B52" s="60"/>
      <x:c r="C52" s="60"/>
      <x:c r="D52" s="60"/>
      <x:c r="E52" s="60"/>
      <x:c r="F52" s="60"/>
      <x:c r="G52" s="60"/>
      <x:c r="H52" s="56"/>
      <x:c r="I52" s="56" t="n">
        <x:f>IF(ISBLANK(B97),0,IF(ISNUMBER(B97),IF(AND(B97&gt;=0,B97&lt;=4,MOD(B97,1)=0),1,-1),-1))</x:f>
        <x:v>0</x:v>
      </x:c>
      <x:c r="J52" s="56" t="n">
        <x:f>IF(I52=1,IF(B97='Chẩn đoán'!N44,1,0),0)</x:f>
        <x:v>0</x:v>
      </x:c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6"/>
      <x:c r="Y52" s="56"/>
    </x:row>
    <x:row r="53" ht="28" customHeight="1">
      <x:c r="A53" s="56" t="str">
        <x:v>Nguồn JLPT</x:v>
      </x:c>
      <x:c r="B53" s="58" t="str">
        <x:v>Mở đề</x:v>
      </x:c>
      <x:c r="C53" s="56"/>
      <x:c r="D53" s="56"/>
      <x:c r="E53" s="58" t="str">
        <x:v>Khóa sau khi làm</x:v>
      </x:c>
      <x:c r="F53" s="56"/>
      <x:c r="G53" s="56"/>
      <x:c r="H53" s="56"/>
      <x:c r="I53" s="56" t="n">
        <x:f>IF(ISBLANK(C97),0,IF(ISNUMBER(C97),IF(AND(C97&gt;=0,C97&lt;=4,MOD(C97,1)=0),1,-1),-1))</x:f>
        <x:v>0</x:v>
      </x:c>
      <x:c r="J53" s="56" t="n">
        <x:f>IF(I53=1,IF(C97='Chẩn đoán'!N45,1,0),0)</x:f>
        <x:v>0</x:v>
      </x:c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6"/>
      <x:c r="Y53" s="56"/>
    </x:row>
    <x:row r="54" ht="28" customHeight="1">
      <x:c r="A54" s="56" t="str">
        <x:v>Câu</x:v>
      </x:c>
      <x:c r="B54" s="56" t="str">
        <x:v>26</x:v>
      </x:c>
      <x:c r="C54" s="56" t="str">
        <x:v>30</x:v>
      </x:c>
      <x:c r="D54" s="56" t="str">
        <x:v>31</x:v>
      </x:c>
      <x:c r="E54" s="56" t="str">
        <x:v>32</x:v>
      </x:c>
      <x:c r="F54" s="56" t="str">
        <x:v>33</x:v>
      </x:c>
      <x:c r="G54" s="56"/>
      <x:c r="H54" s="56"/>
      <x:c r="I54" s="56" t="n">
        <x:f>IF(ISBLANK(D97),0,IF(ISNUMBER(D97),IF(AND(D97&gt;=0,D97&lt;=4,MOD(D97,1)=0),1,-1),-1))</x:f>
        <x:v>0</x:v>
      </x:c>
      <x:c r="J54" s="56" t="n">
        <x:f>IF(I54=1,IF(D97='Chẩn đoán'!N46,1,0),0)</x:f>
        <x:v>0</x:v>
      </x:c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6"/>
      <x:c r="Y54" s="56"/>
    </x:row>
    <x:row r="55" ht="28" customHeight="1">
      <x:c r="A55" s="56" t="str">
        <x:v>Bạn chọn</x:v>
      </x:c>
      <x:c r="B55" s="63"/>
      <x:c r="C55" s="63"/>
      <x:c r="D55" s="63"/>
      <x:c r="E55" s="63"/>
      <x:c r="F55" s="63"/>
      <x:c r="G55" s="56"/>
      <x:c r="H55" s="56"/>
      <x:c r="I55" s="56" t="n">
        <x:f>IF(ISBLANK(E97),0,IF(ISNUMBER(E97),IF(AND(E97&gt;=0,E97&lt;=4,MOD(E97,1)=0),1,-1),-1))</x:f>
        <x:v>0</x:v>
      </x:c>
      <x:c r="J55" s="56" t="n">
        <x:f>IF(I55=1,IF(E97='Chẩn đoán'!N47,1,0),0)</x:f>
        <x:v>0</x:v>
      </x:c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6"/>
      <x:c r="Y55" s="56"/>
    </x:row>
    <x:row r="56" ht="28" customHeight="1">
      <x:c r="A56" s="56"/>
      <x:c r="B56" s="56"/>
      <x:c r="C56" s="56"/>
      <x:c r="D56" s="56"/>
      <x:c r="E56" s="56"/>
      <x:c r="F56" s="56"/>
      <x:c r="G56" s="56"/>
      <x:c r="H56" s="56"/>
      <x:c r="I56" s="56" t="n">
        <x:f>IF(ISBLANK(F97),0,IF(ISNUMBER(F97),IF(AND(F97&gt;=0,F97&lt;=4,MOD(F97,1)=0),1,-1),-1))</x:f>
        <x:v>0</x:v>
      </x:c>
      <x:c r="J56" s="56" t="n">
        <x:f>IF(I56=1,IF(F97='Chẩn đoán'!N48,1,0),0)</x:f>
        <x:v>0</x:v>
      </x:c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6"/>
      <x:c r="Y56" s="56"/>
    </x:row>
    <x:row r="57" ht="28" customHeight="1">
      <x:c r="A57" s="56"/>
      <x:c r="B57" s="56"/>
      <x:c r="C57" s="56"/>
      <x:c r="D57" s="56"/>
      <x:c r="E57" s="56"/>
      <x:c r="F57" s="56"/>
      <x:c r="G57" s="56"/>
      <x:c r="H57" s="56"/>
      <x:c r="I57" s="56" t="n">
        <x:f>IF(ISBLANK(G97),0,IF(ISNUMBER(G97),IF(AND(G97&gt;=0,G97&lt;=4,MOD(G97,1)=0),1,-1),-1))</x:f>
        <x:v>0</x:v>
      </x:c>
      <x:c r="J57" s="56" t="n">
        <x:f>IF(I57=1,IF(G97='Chẩn đoán'!N49,1,0),0)</x:f>
        <x:v>0</x:v>
      </x:c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6"/>
      <x:c r="Y57" s="56"/>
    </x:row>
    <x:row r="58" ht="28" customHeight="1">
      <x:c r="A58" s="56" t="str">
        <x:v>Ngày thật</x:v>
      </x:c>
      <x:c r="B58" s="64"/>
      <x:c r="C58" s="56" t="str">
        <x:v>Phút làm</x:v>
      </x:c>
      <x:c r="D58" s="61"/>
      <x:c r="E58" s="56" t="str">
        <x:v>Loại câu</x:v>
      </x:c>
      <x:c r="F58" s="61"/>
      <x:c r="G58" s="56"/>
      <x:c r="H58" s="56"/>
      <x:c r="I58" s="56" t="n">
        <x:f>IF(ISBLANK(B111),0,IF(ISNUMBER(B111),IF(AND(B111&gt;=0,B111&lt;=4,MOD(B111,1)=0),1,-1),-1))</x:f>
        <x:v>0</x:v>
      </x:c>
      <x:c r="J58" s="56" t="n">
        <x:f>IF(I58=1,IF(B111='Chẩn đoán'!N50,1,0),0)</x:f>
        <x:v>0</x:v>
      </x:c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6"/>
      <x:c r="Y58" s="56"/>
    </x:row>
    <x:row r="59" ht="28" customHeight="1">
      <x:c r="A59" s="56" t="str">
        <x:v>Chấm sau giờ</x:v>
      </x:c>
      <x:c r="B59" s="61"/>
      <x:c r="C59" s="56"/>
      <x:c r="D59" s="56" t="str">
        <x:v>Dở dang: để nguyên; chưa chọn Xong.</x:v>
      </x:c>
      <x:c r="E59" s="56"/>
      <x:c r="F59" s="56"/>
      <x:c r="G59" s="56"/>
      <x:c r="H59" s="56"/>
      <x:c r="I59" s="56" t="n">
        <x:f>IF(ISBLANK(C111),0,IF(ISNUMBER(C111),IF(AND(C111&gt;=0,C111&lt;=4,MOD(C111,1)=0),1,-1),-1))</x:f>
        <x:v>0</x:v>
      </x:c>
      <x:c r="J59" s="56" t="n">
        <x:f>IF(I59=1,IF(C111='Chẩn đoán'!N51,1,0),0)</x:f>
        <x:v>0</x:v>
      </x:c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6"/>
      <x:c r="Y59" s="56"/>
    </x:row>
    <x:row r="60" ht="32" customHeight="1">
      <x:c r="A60" s="56" t="str">
        <x:v>Trạng thái</x:v>
      </x:c>
      <x:c r="B60" s="66" t="str">
        <x:f>P175</x:f>
        <x:v>Chưa làm</x:v>
      </x:c>
      <x:c r="C60" s="66"/>
      <x:c r="D60" s="66"/>
      <x:c r="E60" s="66"/>
      <x:c r="F60" s="66"/>
      <x:c r="G60" s="66"/>
      <x:c r="H60" s="56"/>
      <x:c r="I60" s="56" t="n">
        <x:f>IF(ISBLANK(D111),0,IF(ISNUMBER(D111),IF(AND(D111&gt;=0,D111&lt;=4,MOD(D111,1)=0),1,-1),-1))</x:f>
        <x:v>0</x:v>
      </x:c>
      <x:c r="J60" s="56" t="n">
        <x:f>IF(I60=1,IF(D111='Chẩn đoán'!N52,1,0),0)</x:f>
        <x:v>0</x:v>
      </x:c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6"/>
      <x:c r="Y60" s="56"/>
    </x:row>
    <x:row r="61" ht="32" customHeight="1">
      <x:c r="A61" s="56" t="str">
        <x:v>Kết quả</x:v>
      </x:c>
      <x:c r="B61" s="66" t="str">
        <x:f>IF(AND(B59="Xong",R175=K175,S175=0),T175&amp;"/"&amp;K175&amp;" đúng; 0 vẫn tính bỏ câu","Đã ghi "&amp;R175&amp;"/"&amp;K175&amp;"; chưa hiện điểm")</x:f>
        <x:v>Đã ghi 0/5; chưa hiện điểm</x:v>
      </x:c>
      <x:c r="C61" s="66"/>
      <x:c r="D61" s="66"/>
      <x:c r="E61" s="66"/>
      <x:c r="F61" s="66"/>
      <x:c r="G61" s="66"/>
      <x:c r="H61" s="56"/>
      <x:c r="I61" s="56" t="n">
        <x:f>IF(ISBLANK(E111),0,IF(ISNUMBER(E111),IF(AND(E111&gt;=0,E111&lt;=4,MOD(E111,1)=0),1,-1),-1))</x:f>
        <x:v>0</x:v>
      </x:c>
      <x:c r="J61" s="56" t="n">
        <x:f>IF(I61=1,IF(E111='Chẩn đoán'!N53,1,0),0)</x:f>
        <x:v>0</x:v>
      </x:c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6"/>
      <x:c r="Y61" s="56"/>
    </x:row>
    <x:row r="62" ht="32" customHeight="1">
      <x:c r="A62" s="56" t="str">
        <x:v>Câu cần sửa</x:v>
      </x:c>
      <x:c r="B62" s="66" t="str">
        <x:f>IF(AND(B59="Xong",R175=K175,S175=0),IF(X175="","Không có câu sai/bỏ",X175),"Chỉ hiện sau khi làm xong")</x:f>
        <x:v>Chỉ hiện sau khi làm xong</x:v>
      </x:c>
      <x:c r="C62" s="66"/>
      <x:c r="D62" s="66"/>
      <x:c r="E62" s="66"/>
      <x:c r="F62" s="66"/>
      <x:c r="G62" s="66"/>
      <x:c r="H62" s="56"/>
      <x:c r="I62" s="56" t="n">
        <x:f>IF(ISBLANK(F111),0,IF(ISNUMBER(F111),IF(AND(F111&gt;=0,F111&lt;=4,MOD(F111,1)=0),1,-1),-1))</x:f>
        <x:v>0</x:v>
      </x:c>
      <x:c r="J62" s="56" t="n">
        <x:f>IF(I62=1,IF(F111='Chẩn đoán'!N54,1,0),0)</x:f>
        <x:v>0</x:v>
      </x:c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6"/>
      <x:c r="Y62" s="56"/>
    </x:row>
    <x:row r="63" ht="28" customHeight="1">
      <x:c r="A63" s="56" t="str">
        <x:v>Lỗi chính</x:v>
      </x:c>
      <x:c r="B63" s="61"/>
      <x:c r="C63" s="56"/>
      <x:c r="D63" s="56"/>
      <x:c r="E63" s="58" t="str">
        <x:v>Xem tuần</x:v>
      </x:c>
      <x:c r="F63" s="56"/>
      <x:c r="G63" s="56"/>
      <x:c r="H63" s="56"/>
      <x:c r="I63" s="56" t="n">
        <x:f>IF(ISBLANK(G111),0,IF(ISNUMBER(G111),IF(AND(G111&gt;=0,G111&lt;=4,MOD(G111,1)=0),1,-1),-1))</x:f>
        <x:v>0</x:v>
      </x:c>
      <x:c r="J63" s="56" t="n">
        <x:f>IF(I63=1,IF(G111='Chẩn đoán'!N55,1,0),0)</x:f>
        <x:v>0</x:v>
      </x:c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6"/>
      <x:c r="Y63" s="56"/>
    </x:row>
    <x:row r="64" ht="32" customHeight="1">
      <x:c r="A64" s="56" t="str">
        <x:v>Tiếp theo</x:v>
      </x:c>
      <x:c r="B64" s="66" t="str">
        <x:f>IF(P175="Đã chấm","Chọn 1 lỗi để chữa 5-10 phút rồi dừng.",IF(P175="Trùng hai chế độ","Giữ lịch sử ở Chẩn đoán; xóa bản nhập trùng ở đây.","Hoàn tất khi đủ sức; không ép làm khối tiếp."))</x:f>
        <x:v>Hoàn tất khi đủ sức; không ép làm khối tiếp.</x:v>
      </x:c>
      <x:c r="C64" s="66"/>
      <x:c r="D64" s="66"/>
      <x:c r="E64" s="66"/>
      <x:c r="F64" s="66"/>
      <x:c r="G64" s="66"/>
      <x:c r="H64" s="56"/>
      <x:c r="I64" s="56" t="n">
        <x:f>IF(ISBLANK(B113),0,IF(ISNUMBER(B113),IF(AND(B113&gt;=0,B113&lt;=4,MOD(B113,1)=0),1,-1),-1))</x:f>
        <x:v>0</x:v>
      </x:c>
      <x:c r="J64" s="56" t="n">
        <x:f>IF(I64=1,IF(B113='Chẩn đoán'!N56,1,0),0)</x:f>
        <x:v>0</x:v>
      </x:c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6"/>
      <x:c r="Y64" s="56"/>
    </x:row>
    <x:row r="65" ht="28" customHeight="1">
      <x:c r="A65" s="56"/>
      <x:c r="B65" s="56"/>
      <x:c r="C65" s="56"/>
      <x:c r="D65" s="56"/>
      <x:c r="E65" s="56"/>
      <x:c r="F65" s="56"/>
      <x:c r="G65" s="56"/>
      <x:c r="H65" s="56"/>
      <x:c r="I65" s="56" t="n">
        <x:f>IF(ISBLANK(C113),0,IF(ISNUMBER(C113),IF(AND(C113&gt;=0,C113&lt;=4,MOD(C113,1)=0),1,-1),-1))</x:f>
        <x:v>0</x:v>
      </x:c>
      <x:c r="J65" s="56" t="n">
        <x:f>IF(I65=1,IF(C113='Chẩn đoán'!N57,1,0),0)</x:f>
        <x:v>0</x:v>
      </x:c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</x:row>
    <x:row r="66" ht="30" customHeight="1">
      <x:c r="A66" s="60" t="str">
        <x:v>N4-L1 · Nghe · 10 phút làm</x:v>
      </x:c>
      <x:c r="B66" s="60"/>
      <x:c r="C66" s="60"/>
      <x:c r="D66" s="60"/>
      <x:c r="E66" s="60"/>
      <x:c r="F66" s="60"/>
      <x:c r="G66" s="60"/>
      <x:c r="H66" s="56"/>
      <x:c r="I66" s="56" t="n">
        <x:f>IF(ISBLANK(D113),0,IF(ISNUMBER(D113),IF(AND(D113&gt;=0,D113&lt;=4,MOD(D113,1)=0),1,-1),-1))</x:f>
        <x:v>0</x:v>
      </x:c>
      <x:c r="J66" s="56" t="n">
        <x:f>IF(I66=1,IF(D113='Chẩn đoán'!N58,1,0),0)</x:f>
        <x:v>0</x:v>
      </x:c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6"/>
      <x:c r="Y66" s="56"/>
    </x:row>
    <x:row r="67" ht="28" customHeight="1">
      <x:c r="A67" s="56" t="str">
        <x:v>Nguồn JLPT</x:v>
      </x:c>
      <x:c r="B67" s="58" t="str">
        <x:v>Mở đề</x:v>
      </x:c>
      <x:c r="C67" s="56"/>
      <x:c r="D67" s="56"/>
      <x:c r="E67" s="58" t="str">
        <x:v>Khóa sau khi làm</x:v>
      </x:c>
      <x:c r="F67" s="56"/>
      <x:c r="G67" s="56"/>
      <x:c r="H67" s="56"/>
      <x:c r="I67" s="56" t="n">
        <x:f>IF(ISBLANK(E113),0,IF(ISNUMBER(E113),IF(AND(E113&gt;=0,E113&lt;=4,MOD(E113,1)=0),1,-1),-1))</x:f>
        <x:v>0</x:v>
      </x:c>
      <x:c r="J67" s="56" t="n">
        <x:f>IF(I67=1,IF(E113='Chẩn đoán'!N59,1,0),0)</x:f>
        <x:v>0</x:v>
      </x:c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6"/>
      <x:c r="Y67" s="56"/>
    </x:row>
    <x:row r="68" ht="28" customHeight="1">
      <x:c r="A68" s="56" t="str">
        <x:v>Câu</x:v>
      </x:c>
      <x:c r="B68" s="56" t="str">
        <x:v>M1-1</x:v>
      </x:c>
      <x:c r="C68" s="56" t="str">
        <x:v>M1-2</x:v>
      </x:c>
      <x:c r="D68" s="56" t="str">
        <x:v>M2-1</x:v>
      </x:c>
      <x:c r="E68" s="56" t="str">
        <x:v>M2-2</x:v>
      </x:c>
      <x:c r="F68" s="56"/>
      <x:c r="G68" s="56"/>
      <x:c r="H68" s="56"/>
      <x:c r="I68" s="56" t="n">
        <x:f>IF(ISBLANK(B125),0,IF(ISNUMBER(B125),IF(AND(B125&gt;=0,B125&lt;=4,MOD(B125,1)=0),1,-1),-1))</x:f>
        <x:v>0</x:v>
      </x:c>
      <x:c r="J68" s="56" t="n">
        <x:f>IF(I68=1,IF(B125='Chẩn đoán'!N60,1,0),0)</x:f>
        <x:v>0</x:v>
      </x:c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6"/>
      <x:c r="Y68" s="56"/>
    </x:row>
    <x:row r="69" ht="28" customHeight="1">
      <x:c r="A69" s="56" t="str">
        <x:v>Bạn chọn</x:v>
      </x:c>
      <x:c r="B69" s="63"/>
      <x:c r="C69" s="63"/>
      <x:c r="D69" s="63"/>
      <x:c r="E69" s="63"/>
      <x:c r="F69" s="56"/>
      <x:c r="G69" s="56"/>
      <x:c r="H69" s="56"/>
      <x:c r="I69" s="56" t="n">
        <x:f>IF(ISBLANK(C125),0,IF(ISNUMBER(C125),IF(AND(C125&gt;=0,C125&lt;=4,MOD(C125,1)=0),1,-1),-1))</x:f>
        <x:v>0</x:v>
      </x:c>
      <x:c r="J69" s="56" t="n">
        <x:f>IF(I69=1,IF(C125='Chẩn đoán'!N61,1,0),0)</x:f>
        <x:v>0</x:v>
      </x:c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6"/>
      <x:c r="Y69" s="56"/>
    </x:row>
    <x:row r="70" ht="28" customHeight="1">
      <x:c r="A70" s="56"/>
      <x:c r="B70" s="56"/>
      <x:c r="C70" s="56"/>
      <x:c r="D70" s="56"/>
      <x:c r="E70" s="56"/>
      <x:c r="F70" s="56"/>
      <x:c r="G70" s="56"/>
      <x:c r="H70" s="56"/>
      <x:c r="I70" s="56" t="n">
        <x:f>IF(ISBLANK(D125),0,IF(ISNUMBER(D125),IF(AND(D125&gt;=0,D125&lt;=4,MOD(D125,1)=0),1,-1),-1))</x:f>
        <x:v>0</x:v>
      </x:c>
      <x:c r="J70" s="56" t="n">
        <x:f>IF(I70=1,IF(D125='Chẩn đoán'!N62,1,0),0)</x:f>
        <x:v>0</x:v>
      </x:c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</x:row>
    <x:row r="71" ht="28" customHeight="1">
      <x:c r="A71" s="56"/>
      <x:c r="B71" s="56"/>
      <x:c r="C71" s="56"/>
      <x:c r="D71" s="56"/>
      <x:c r="E71" s="56"/>
      <x:c r="F71" s="56"/>
      <x:c r="G71" s="56"/>
      <x:c r="H71" s="56"/>
      <x:c r="I71" s="56" t="n">
        <x:f>IF(ISBLANK(E125),0,IF(ISNUMBER(E125),IF(AND(E125&gt;=0,E125&lt;=4,MOD(E125,1)=0),1,-1),-1))</x:f>
        <x:v>0</x:v>
      </x:c>
      <x:c r="J71" s="56" t="n">
        <x:f>IF(I71=1,IF(E125='Chẩn đoán'!N63,1,0),0)</x:f>
        <x:v>0</x:v>
      </x:c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6"/>
      <x:c r="Y71" s="56"/>
    </x:row>
    <x:row r="72" ht="28" customHeight="1">
      <x:c r="A72" s="56" t="str">
        <x:v>Ngày thật</x:v>
      </x:c>
      <x:c r="B72" s="64"/>
      <x:c r="C72" s="56" t="str">
        <x:v>Phút làm</x:v>
      </x:c>
      <x:c r="D72" s="61"/>
      <x:c r="E72" s="56" t="str">
        <x:v>Loại câu</x:v>
      </x:c>
      <x:c r="F72" s="61"/>
      <x:c r="G72" s="56"/>
      <x:c r="H72" s="56"/>
      <x:c r="I72" s="56" t="n">
        <x:f>IF(ISBLANK(B139),0,IF(ISNUMBER(B139),IF(AND(B139&gt;=0,B139&lt;=4,MOD(B139,1)=0),1,-1),-1))</x:f>
        <x:v>0</x:v>
      </x:c>
      <x:c r="J72" s="56" t="n">
        <x:f>IF(I72=1,IF(B139='Chẩn đoán'!N64,1,0),0)</x:f>
        <x:v>0</x:v>
      </x:c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6"/>
      <x:c r="Y72" s="56"/>
    </x:row>
    <x:row r="73" ht="28" customHeight="1">
      <x:c r="A73" s="56" t="str">
        <x:v>Chấm sau giờ</x:v>
      </x:c>
      <x:c r="B73" s="61"/>
      <x:c r="C73" s="56"/>
      <x:c r="D73" s="56" t="str">
        <x:v>Dở dang: để nguyên; chưa chọn Xong.</x:v>
      </x:c>
      <x:c r="E73" s="56"/>
      <x:c r="F73" s="56"/>
      <x:c r="G73" s="56"/>
      <x:c r="H73" s="56"/>
      <x:c r="I73" s="56" t="n">
        <x:f>IF(ISBLANK(C139),0,IF(ISNUMBER(C139),IF(AND(C139&gt;=0,C139&lt;=4,MOD(C139,1)=0),1,-1),-1))</x:f>
        <x:v>0</x:v>
      </x:c>
      <x:c r="J73" s="56" t="n">
        <x:f>IF(I73=1,IF(C139='Chẩn đoán'!N65,1,0),0)</x:f>
        <x:v>0</x:v>
      </x:c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6"/>
      <x:c r="Y73" s="56"/>
    </x:row>
    <x:row r="74" ht="32" customHeight="1">
      <x:c r="A74" s="56" t="str">
        <x:v>Trạng thái</x:v>
      </x:c>
      <x:c r="B74" s="66" t="str">
        <x:f>P176</x:f>
        <x:v>Chưa làm</x:v>
      </x:c>
      <x:c r="C74" s="66"/>
      <x:c r="D74" s="66"/>
      <x:c r="E74" s="66"/>
      <x:c r="F74" s="66"/>
      <x:c r="G74" s="66"/>
      <x:c r="H74" s="56"/>
      <x:c r="I74" s="56" t="n">
        <x:f>IF(ISBLANK(D139),0,IF(ISNUMBER(D139),IF(AND(D139&gt;=0,D139&lt;=4,MOD(D139,1)=0),1,-1),-1))</x:f>
        <x:v>0</x:v>
      </x:c>
      <x:c r="J74" s="56" t="n">
        <x:f>IF(I74=1,IF(D139='Chẩn đoán'!N66,1,0),0)</x:f>
        <x:v>0</x:v>
      </x:c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6"/>
      <x:c r="Y74" s="56"/>
    </x:row>
    <x:row r="75" ht="32" customHeight="1">
      <x:c r="A75" s="56" t="str">
        <x:v>Kết quả</x:v>
      </x:c>
      <x:c r="B75" s="66" t="str">
        <x:f>IF(AND(B73="Xong",R176=K176,S176=0),T176&amp;"/"&amp;K176&amp;" đúng; 0 vẫn tính bỏ câu","Đã ghi "&amp;R176&amp;"/"&amp;K176&amp;"; chưa hiện điểm")</x:f>
        <x:v>Đã ghi 0/4; chưa hiện điểm</x:v>
      </x:c>
      <x:c r="C75" s="66"/>
      <x:c r="D75" s="66"/>
      <x:c r="E75" s="66"/>
      <x:c r="F75" s="66"/>
      <x:c r="G75" s="66"/>
      <x:c r="H75" s="56"/>
      <x:c r="I75" s="56" t="n">
        <x:f>IF(ISBLANK(E139),0,IF(ISNUMBER(E139),IF(AND(E139&gt;=0,E139&lt;=4,MOD(E139,1)=0),1,-1),-1))</x:f>
        <x:v>0</x:v>
      </x:c>
      <x:c r="J75" s="56" t="n">
        <x:f>IF(I75=1,IF(E139='Chẩn đoán'!N67,1,0),0)</x:f>
        <x:v>0</x:v>
      </x:c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6"/>
      <x:c r="Y75" s="56"/>
    </x:row>
    <x:row r="76" ht="32" customHeight="1">
      <x:c r="A76" s="56" t="str">
        <x:v>Câu cần sửa</x:v>
      </x:c>
      <x:c r="B76" s="66" t="str">
        <x:f>IF(AND(B73="Xong",R176=K176,S176=0),IF(X176="","Không có câu sai/bỏ",X176),"Chỉ hiện sau khi làm xong")</x:f>
        <x:v>Chỉ hiện sau khi làm xong</x:v>
      </x:c>
      <x:c r="C76" s="66"/>
      <x:c r="D76" s="66"/>
      <x:c r="E76" s="66"/>
      <x:c r="F76" s="66"/>
      <x:c r="G76" s="66"/>
      <x:c r="H76" s="56"/>
      <x:c r="I76" s="56" t="n">
        <x:f>IF(ISBLANK(B153),0,IF(ISNUMBER(B153),IF(AND(B153&gt;=0,B153&lt;=4,MOD(B153,1)=0),1,-1),-1))</x:f>
        <x:v>0</x:v>
      </x:c>
      <x:c r="J76" s="56" t="n">
        <x:f>IF(I76=1,IF(B153='Chẩn đoán'!N68,1,0),0)</x:f>
        <x:v>0</x:v>
      </x:c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6"/>
      <x:c r="Y76" s="56"/>
    </x:row>
    <x:row r="77" ht="28" customHeight="1">
      <x:c r="A77" s="56" t="str">
        <x:v>Lỗi chính</x:v>
      </x:c>
      <x:c r="B77" s="61"/>
      <x:c r="C77" s="56"/>
      <x:c r="D77" s="56"/>
      <x:c r="E77" s="58" t="str">
        <x:v>Xem tuần</x:v>
      </x:c>
      <x:c r="F77" s="56"/>
      <x:c r="G77" s="56"/>
      <x:c r="H77" s="56"/>
      <x:c r="I77" s="56" t="n">
        <x:f>IF(ISBLANK(C153),0,IF(ISNUMBER(C153),IF(AND(C153&gt;=0,C153&lt;=4,MOD(C153,1)=0),1,-1),-1))</x:f>
        <x:v>0</x:v>
      </x:c>
      <x:c r="J77" s="56" t="n">
        <x:f>IF(I77=1,IF(C153='Chẩn đoán'!N69,1,0),0)</x:f>
        <x:v>0</x:v>
      </x:c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6"/>
      <x:c r="Y77" s="56"/>
    </x:row>
    <x:row r="78" ht="32" customHeight="1">
      <x:c r="A78" s="56" t="str">
        <x:v>Tiếp theo</x:v>
      </x:c>
      <x:c r="B78" s="66" t="str">
        <x:f>IF(P176="Đã chấm","Chọn 1 lỗi để chữa 5-10 phút rồi dừng.",IF(P176="Trùng hai chế độ","Giữ lịch sử ở Chẩn đoán; xóa bản nhập trùng ở đây.","Hoàn tất khi đủ sức; không ép làm khối tiếp."))</x:f>
        <x:v>Hoàn tất khi đủ sức; không ép làm khối tiếp.</x:v>
      </x:c>
      <x:c r="C78" s="66"/>
      <x:c r="D78" s="66"/>
      <x:c r="E78" s="66"/>
      <x:c r="F78" s="66"/>
      <x:c r="G78" s="66"/>
      <x:c r="H78" s="56"/>
      <x:c r="I78" s="56" t="n">
        <x:f>IF(ISBLANK(D153),0,IF(ISNUMBER(D153),IF(AND(D153&gt;=0,D153&lt;=3,MOD(D153,1)=0),1,-1),-1))</x:f>
        <x:v>0</x:v>
      </x:c>
      <x:c r="J78" s="56" t="n">
        <x:f>IF(I78=1,IF(D153='Chẩn đoán'!N70,1,0),0)</x:f>
        <x:v>0</x:v>
      </x:c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6"/>
      <x:c r="Y78" s="56"/>
    </x:row>
    <x:row r="79" ht="28" customHeight="1">
      <x:c r="A79" s="56"/>
      <x:c r="B79" s="56"/>
      <x:c r="C79" s="56"/>
      <x:c r="D79" s="56"/>
      <x:c r="E79" s="56"/>
      <x:c r="F79" s="56"/>
      <x:c r="G79" s="56"/>
      <x:c r="H79" s="56"/>
      <x:c r="I79" s="56" t="n">
        <x:f>IF(ISBLANK(E153),0,IF(ISNUMBER(E153),IF(AND(E153&gt;=0,E153&lt;=3,MOD(E153,1)=0),1,-1),-1))</x:f>
        <x:v>0</x:v>
      </x:c>
      <x:c r="J79" s="56" t="n">
        <x:f>IF(I79=1,IF(E153='Chẩn đoán'!N71,1,0),0)</x:f>
        <x:v>0</x:v>
      </x:c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</x:row>
    <x:row r="80" ht="30" customHeight="1">
      <x:c r="A80" s="60" t="str">
        <x:v>N4-L2 · Nghe · 8 phút làm</x:v>
      </x:c>
      <x:c r="B80" s="60"/>
      <x:c r="C80" s="60"/>
      <x:c r="D80" s="60"/>
      <x:c r="E80" s="60"/>
      <x:c r="F80" s="60"/>
      <x:c r="G80" s="60"/>
      <x:c r="H80" s="56"/>
      <x:c r="I80" s="56" t="n">
        <x:f>IF(ISBLANK(F153),0,IF(ISNUMBER(F153),IF(AND(F153&gt;=0,F153&lt;=3,MOD(F153,1)=0),1,-1),-1))</x:f>
        <x:v>0</x:v>
      </x:c>
      <x:c r="J80" s="56" t="n">
        <x:f>IF(I80=1,IF(F153='Chẩn đoán'!N72,1,0),0)</x:f>
        <x:v>0</x:v>
      </x:c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6"/>
      <x:c r="Y80" s="56"/>
    </x:row>
    <x:row r="81" ht="28" customHeight="1">
      <x:c r="A81" s="56" t="str">
        <x:v>Nguồn JLPT</x:v>
      </x:c>
      <x:c r="B81" s="58" t="str">
        <x:v>Mở đề</x:v>
      </x:c>
      <x:c r="C81" s="56"/>
      <x:c r="D81" s="56"/>
      <x:c r="E81" s="58" t="str">
        <x:v>Khóa sau khi làm</x:v>
      </x:c>
      <x:c r="F81" s="56"/>
      <x:c r="G81" s="56"/>
      <x:c r="H81" s="56"/>
      <x:c r="I81" s="56" t="n">
        <x:f>IF(ISBLANK(G153),0,IF(ISNUMBER(G153),IF(AND(G153&gt;=0,G153&lt;=3,MOD(G153,1)=0),1,-1),-1))</x:f>
        <x:v>0</x:v>
      </x:c>
      <x:c r="J81" s="56" t="n">
        <x:f>IF(I81=1,IF(G153='Chẩn đoán'!N73,1,0),0)</x:f>
        <x:v>0</x:v>
      </x:c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6"/>
      <x:c r="Y81" s="56"/>
    </x:row>
    <x:row r="82" ht="28" customHeight="1">
      <x:c r="A82" s="56" t="str">
        <x:v>Câu</x:v>
      </x:c>
      <x:c r="B82" s="56" t="str">
        <x:v>M3-1</x:v>
      </x:c>
      <x:c r="C82" s="56" t="str">
        <x:v>M3-2</x:v>
      </x:c>
      <x:c r="D82" s="56" t="str">
        <x:v>M4-1</x:v>
      </x:c>
      <x:c r="E82" s="56" t="str">
        <x:v>M4-2</x:v>
      </x:c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6"/>
      <x:c r="Y82" s="56"/>
    </x:row>
    <x:row r="83" ht="28" customHeight="1">
      <x:c r="A83" s="56" t="str">
        <x:v>Bạn chọn</x:v>
      </x:c>
      <x:c r="B83" s="63"/>
      <x:c r="C83" s="63"/>
      <x:c r="D83" s="63"/>
      <x:c r="E83" s="63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6"/>
      <x:c r="Y83" s="56"/>
    </x:row>
    <x:row r="84" ht="28" customHeight="1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6"/>
      <x:c r="Y84" s="56"/>
    </x:row>
    <x:row r="85" ht="28" customHeight="1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6"/>
      <x:c r="Y85" s="56"/>
    </x:row>
    <x:row r="86" ht="28" customHeight="1">
      <x:c r="A86" s="56" t="str">
        <x:v>Ngày thật</x:v>
      </x:c>
      <x:c r="B86" s="64"/>
      <x:c r="C86" s="56" t="str">
        <x:v>Phút làm</x:v>
      </x:c>
      <x:c r="D86" s="61"/>
      <x:c r="E86" s="56" t="str">
        <x:v>Loại câu</x:v>
      </x:c>
      <x:c r="F86" s="61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6"/>
      <x:c r="Y86" s="56"/>
    </x:row>
    <x:row r="87" ht="28" customHeight="1">
      <x:c r="A87" s="56" t="str">
        <x:v>Chấm sau giờ</x:v>
      </x:c>
      <x:c r="B87" s="61"/>
      <x:c r="C87" s="56"/>
      <x:c r="D87" s="56" t="str">
        <x:v>Dở dang: để nguyên; chưa chọn Xong.</x:v>
      </x:c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6"/>
      <x:c r="Y87" s="56"/>
    </x:row>
    <x:row r="88" ht="32" customHeight="1">
      <x:c r="A88" s="56" t="str">
        <x:v>Trạng thái</x:v>
      </x:c>
      <x:c r="B88" s="66" t="str">
        <x:f>P177</x:f>
        <x:v>Chưa làm</x:v>
      </x:c>
      <x:c r="C88" s="66"/>
      <x:c r="D88" s="66"/>
      <x:c r="E88" s="66"/>
      <x:c r="F88" s="66"/>
      <x:c r="G88" s="6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6"/>
      <x:c r="Y88" s="56"/>
    </x:row>
    <x:row r="89" ht="32" customHeight="1">
      <x:c r="A89" s="56" t="str">
        <x:v>Kết quả</x:v>
      </x:c>
      <x:c r="B89" s="66" t="str">
        <x:f>IF(AND(B87="Xong",R177=K177,S177=0),T177&amp;"/"&amp;K177&amp;" đúng; 0 vẫn tính bỏ câu","Đã ghi "&amp;R177&amp;"/"&amp;K177&amp;"; chưa hiện điểm")</x:f>
        <x:v>Đã ghi 0/4; chưa hiện điểm</x:v>
      </x:c>
      <x:c r="C89" s="66"/>
      <x:c r="D89" s="66"/>
      <x:c r="E89" s="66"/>
      <x:c r="F89" s="66"/>
      <x:c r="G89" s="6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6"/>
      <x:c r="Y89" s="56"/>
    </x:row>
    <x:row r="90" ht="32" customHeight="1">
      <x:c r="A90" s="56" t="str">
        <x:v>Câu cần sửa</x:v>
      </x:c>
      <x:c r="B90" s="66" t="str">
        <x:f>IF(AND(B87="Xong",R177=K177,S177=0),IF(X177="","Không có câu sai/bỏ",X177),"Chỉ hiện sau khi làm xong")</x:f>
        <x:v>Chỉ hiện sau khi làm xong</x:v>
      </x:c>
      <x:c r="C90" s="66"/>
      <x:c r="D90" s="66"/>
      <x:c r="E90" s="66"/>
      <x:c r="F90" s="66"/>
      <x:c r="G90" s="6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6"/>
      <x:c r="Y90" s="56"/>
    </x:row>
    <x:row r="91" ht="28" customHeight="1">
      <x:c r="A91" s="56" t="str">
        <x:v>Lỗi chính</x:v>
      </x:c>
      <x:c r="B91" s="61"/>
      <x:c r="C91" s="56"/>
      <x:c r="D91" s="56"/>
      <x:c r="E91" s="58" t="str">
        <x:v>Xem tuần</x:v>
      </x:c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6"/>
      <x:c r="Y91" s="56"/>
    </x:row>
    <x:row r="92" ht="32" customHeight="1">
      <x:c r="A92" s="56" t="str">
        <x:v>Tiếp theo</x:v>
      </x:c>
      <x:c r="B92" s="66" t="str">
        <x:f>IF(P177="Đã chấm","Chọn 1 lỗi để chữa 5-10 phút rồi dừng.",IF(P177="Trùng hai chế độ","Giữ lịch sử ở Chẩn đoán; xóa bản nhập trùng ở đây.","Hoàn tất khi đủ sức; không ép làm khối tiếp."))</x:f>
        <x:v>Hoàn tất khi đủ sức; không ép làm khối tiếp.</x:v>
      </x:c>
      <x:c r="C92" s="66"/>
      <x:c r="D92" s="66"/>
      <x:c r="E92" s="66"/>
      <x:c r="F92" s="66"/>
      <x:c r="G92" s="6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6"/>
      <x:c r="Y92" s="56"/>
    </x:row>
    <x:row r="93" ht="28" customHeight="1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6"/>
      <x:c r="Y93" s="56"/>
    </x:row>
    <x:row r="94" ht="30" customHeight="1">
      <x:c r="A94" s="60" t="str">
        <x:v>N3-G · Ngữ pháp · 7 phút làm</x:v>
      </x:c>
      <x:c r="B94" s="60"/>
      <x:c r="C94" s="60"/>
      <x:c r="D94" s="60"/>
      <x:c r="E94" s="60"/>
      <x:c r="F94" s="60"/>
      <x:c r="G94" s="60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6"/>
      <x:c r="Y94" s="56"/>
    </x:row>
    <x:row r="95" ht="28" customHeight="1">
      <x:c r="A95" s="56" t="str">
        <x:v>Nguồn JLPT</x:v>
      </x:c>
      <x:c r="B95" s="58" t="str">
        <x:v>Mở đề</x:v>
      </x:c>
      <x:c r="C95" s="56"/>
      <x:c r="D95" s="56"/>
      <x:c r="E95" s="58" t="str">
        <x:v>Khóa sau khi làm</x:v>
      </x:c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6"/>
      <x:c r="Y95" s="56"/>
    </x:row>
    <x:row r="96" ht="28" customHeight="1">
      <x:c r="A96" s="56" t="str">
        <x:v>Câu</x:v>
      </x:c>
      <x:c r="B96" s="56" t="str">
        <x:v>1</x:v>
      </x:c>
      <x:c r="C96" s="56" t="str">
        <x:v>2</x:v>
      </x:c>
      <x:c r="D96" s="56" t="str">
        <x:v>3</x:v>
      </x:c>
      <x:c r="E96" s="56" t="str">
        <x:v>4</x:v>
      </x:c>
      <x:c r="F96" s="56" t="str">
        <x:v>14</x:v>
      </x:c>
      <x:c r="G96" s="56" t="str">
        <x:v>15</x:v>
      </x:c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6"/>
      <x:c r="Y96" s="56"/>
    </x:row>
    <x:row r="97" ht="28" customHeight="1">
      <x:c r="A97" s="56" t="str">
        <x:v>Bạn chọn</x:v>
      </x:c>
      <x:c r="B97" s="63"/>
      <x:c r="C97" s="63"/>
      <x:c r="D97" s="63"/>
      <x:c r="E97" s="63"/>
      <x:c r="F97" s="63"/>
      <x:c r="G97" s="63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6"/>
      <x:c r="Y97" s="56"/>
    </x:row>
    <x:row r="98" ht="28" customHeight="1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6"/>
      <x:c r="Y98" s="56"/>
    </x:row>
    <x:row r="99" ht="28" customHeight="1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6"/>
      <x:c r="Y99" s="56"/>
    </x:row>
    <x:row r="100" ht="28" customHeight="1">
      <x:c r="A100" s="56" t="str">
        <x:v>Ngày thật</x:v>
      </x:c>
      <x:c r="B100" s="64"/>
      <x:c r="C100" s="56" t="str">
        <x:v>Phút làm</x:v>
      </x:c>
      <x:c r="D100" s="61"/>
      <x:c r="E100" s="56" t="str">
        <x:v>Loại câu</x:v>
      </x:c>
      <x:c r="F100" s="61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6"/>
      <x:c r="Y100" s="56"/>
    </x:row>
    <x:row r="101" ht="28" customHeight="1">
      <x:c r="A101" s="56" t="str">
        <x:v>Chấm sau giờ</x:v>
      </x:c>
      <x:c r="B101" s="61"/>
      <x:c r="C101" s="56"/>
      <x:c r="D101" s="56" t="str">
        <x:v>Dở dang: để nguyên; chưa chọn Xong.</x:v>
      </x:c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6"/>
      <x:c r="Y101" s="56"/>
    </x:row>
    <x:row r="102" ht="32" customHeight="1">
      <x:c r="A102" s="56" t="str">
        <x:v>Trạng thái</x:v>
      </x:c>
      <x:c r="B102" s="66" t="str">
        <x:f>P178</x:f>
        <x:v>Chưa làm</x:v>
      </x:c>
      <x:c r="C102" s="66"/>
      <x:c r="D102" s="66"/>
      <x:c r="E102" s="66"/>
      <x:c r="F102" s="66"/>
      <x:c r="G102" s="6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6"/>
      <x:c r="Y102" s="56"/>
    </x:row>
    <x:row r="103" ht="32" customHeight="1">
      <x:c r="A103" s="56" t="str">
        <x:v>Kết quả</x:v>
      </x:c>
      <x:c r="B103" s="66" t="str">
        <x:f>IF(AND(B101="Xong",R178=K178,S178=0),T178&amp;"/"&amp;K178&amp;" đúng; 0 vẫn tính bỏ câu","Đã ghi "&amp;R178&amp;"/"&amp;K178&amp;"; chưa hiện điểm")</x:f>
        <x:v>Đã ghi 0/6; chưa hiện điểm</x:v>
      </x:c>
      <x:c r="C103" s="66"/>
      <x:c r="D103" s="66"/>
      <x:c r="E103" s="66"/>
      <x:c r="F103" s="66"/>
      <x:c r="G103" s="6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6"/>
      <x:c r="Y103" s="56"/>
    </x:row>
    <x:row r="104" ht="32" customHeight="1">
      <x:c r="A104" s="56" t="str">
        <x:v>Câu cần sửa</x:v>
      </x:c>
      <x:c r="B104" s="66" t="str">
        <x:f>IF(AND(B101="Xong",R178=K178,S178=0),IF(X178="","Không có câu sai/bỏ",X178),"Chỉ hiện sau khi làm xong")</x:f>
        <x:v>Chỉ hiện sau khi làm xong</x:v>
      </x:c>
      <x:c r="C104" s="66"/>
      <x:c r="D104" s="66"/>
      <x:c r="E104" s="66"/>
      <x:c r="F104" s="66"/>
      <x:c r="G104" s="6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6"/>
      <x:c r="Y104" s="56"/>
    </x:row>
    <x:row r="105" ht="28" customHeight="1">
      <x:c r="A105" s="56" t="str">
        <x:v>Lỗi chính</x:v>
      </x:c>
      <x:c r="B105" s="61"/>
      <x:c r="C105" s="56"/>
      <x:c r="D105" s="56"/>
      <x:c r="E105" s="58" t="str">
        <x:v>Xem tuần</x:v>
      </x:c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</x:row>
    <x:row r="106" ht="32" customHeight="1">
      <x:c r="A106" s="56" t="str">
        <x:v>Tiếp theo</x:v>
      </x:c>
      <x:c r="B106" s="66" t="str">
        <x:f>IF(P178="Đã chấm","Chọn 1 lỗi để chữa 5-10 phút rồi dừng.",IF(P178="Trùng hai chế độ","Giữ lịch sử ở Chẩn đoán; xóa bản nhập trùng ở đây.","Hoàn tất khi đủ sức; không ép làm khối tiếp."))</x:f>
        <x:v>Hoàn tất khi đủ sức; không ép làm khối tiếp.</x:v>
      </x:c>
      <x:c r="C106" s="66"/>
      <x:c r="D106" s="66"/>
      <x:c r="E106" s="66"/>
      <x:c r="F106" s="66"/>
      <x:c r="G106" s="6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</x:row>
    <x:row r="107" ht="28" customHeight="1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</x:row>
    <x:row r="108" ht="30" customHeight="1">
      <x:c r="A108" s="60" t="str">
        <x:v>N3-V · Từ và kanji · 8 phút làm</x:v>
      </x:c>
      <x:c r="B108" s="60"/>
      <x:c r="C108" s="60"/>
      <x:c r="D108" s="60"/>
      <x:c r="E108" s="60"/>
      <x:c r="F108" s="60"/>
      <x:c r="G108" s="60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</x:row>
    <x:row r="109" ht="28" customHeight="1">
      <x:c r="A109" s="56" t="str">
        <x:v>Nguồn JLPT</x:v>
      </x:c>
      <x:c r="B109" s="58" t="str">
        <x:v>Mở đề</x:v>
      </x:c>
      <x:c r="C109" s="56"/>
      <x:c r="D109" s="56"/>
      <x:c r="E109" s="58" t="str">
        <x:v>Khóa sau khi làm</x:v>
      </x:c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</x:row>
    <x:row r="110" ht="28" customHeight="1">
      <x:c r="A110" s="56" t="str">
        <x:v>Câu</x:v>
      </x:c>
      <x:c r="B110" s="56" t="str">
        <x:v>1</x:v>
      </x:c>
      <x:c r="C110" s="56" t="str">
        <x:v>2</x:v>
      </x:c>
      <x:c r="D110" s="56" t="str">
        <x:v>9</x:v>
      </x:c>
      <x:c r="E110" s="56" t="str">
        <x:v>10</x:v>
      </x:c>
      <x:c r="F110" s="56" t="str">
        <x:v>15</x:v>
      </x:c>
      <x:c r="G110" s="56" t="str">
        <x:v>16</x:v>
      </x:c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</x:row>
    <x:row r="111" ht="28" customHeight="1">
      <x:c r="A111" s="56" t="str">
        <x:v>Bạn chọn</x:v>
      </x:c>
      <x:c r="B111" s="63"/>
      <x:c r="C111" s="63"/>
      <x:c r="D111" s="63"/>
      <x:c r="E111" s="63"/>
      <x:c r="F111" s="63"/>
      <x:c r="G111" s="63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</x:row>
    <x:row r="112" ht="28" customHeight="1">
      <x:c r="A112" s="56" t="str">
        <x:v>Câu tiếp</x:v>
      </x:c>
      <x:c r="B112" s="56" t="str">
        <x:v>26</x:v>
      </x:c>
      <x:c r="C112" s="56" t="str">
        <x:v>27</x:v>
      </x:c>
      <x:c r="D112" s="56" t="str">
        <x:v>31</x:v>
      </x:c>
      <x:c r="E112" s="56" t="str">
        <x:v>32</x:v>
      </x:c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</x:row>
    <x:row r="113" ht="28" customHeight="1">
      <x:c r="A113" s="56" t="str">
        <x:v>Bạn chọn</x:v>
      </x:c>
      <x:c r="B113" s="63"/>
      <x:c r="C113" s="63"/>
      <x:c r="D113" s="63"/>
      <x:c r="E113" s="63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</x:row>
    <x:row r="114" ht="28" customHeight="1">
      <x:c r="A114" s="56" t="str">
        <x:v>Ngày thật</x:v>
      </x:c>
      <x:c r="B114" s="64"/>
      <x:c r="C114" s="56" t="str">
        <x:v>Phút làm</x:v>
      </x:c>
      <x:c r="D114" s="61"/>
      <x:c r="E114" s="56" t="str">
        <x:v>Loại câu</x:v>
      </x:c>
      <x:c r="F114" s="61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</x:row>
    <x:row r="115" ht="28" customHeight="1">
      <x:c r="A115" s="56" t="str">
        <x:v>Chấm sau giờ</x:v>
      </x:c>
      <x:c r="B115" s="61"/>
      <x:c r="C115" s="56"/>
      <x:c r="D115" s="56" t="str">
        <x:v>Dở dang: để nguyên; chưa chọn Xong.</x:v>
      </x:c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</x:row>
    <x:row r="116" ht="32" customHeight="1">
      <x:c r="A116" s="56" t="str">
        <x:v>Trạng thái</x:v>
      </x:c>
      <x:c r="B116" s="66" t="str">
        <x:f>P179</x:f>
        <x:v>Chưa làm</x:v>
      </x:c>
      <x:c r="C116" s="66"/>
      <x:c r="D116" s="66"/>
      <x:c r="E116" s="66"/>
      <x:c r="F116" s="66"/>
      <x:c r="G116" s="6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</x:row>
    <x:row r="117" ht="32" customHeight="1">
      <x:c r="A117" s="56" t="str">
        <x:v>Kết quả</x:v>
      </x:c>
      <x:c r="B117" s="66" t="str">
        <x:f>IF(AND(B115="Xong",R179=K179,S179=0),T179&amp;"/"&amp;K179&amp;" đúng; 0 vẫn tính bỏ câu","Đã ghi "&amp;R179&amp;"/"&amp;K179&amp;"; chưa hiện điểm")</x:f>
        <x:v>Đã ghi 0/10; chưa hiện điểm</x:v>
      </x:c>
      <x:c r="C117" s="66"/>
      <x:c r="D117" s="66"/>
      <x:c r="E117" s="66"/>
      <x:c r="F117" s="66"/>
      <x:c r="G117" s="6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</x:row>
    <x:row r="118" ht="32" customHeight="1">
      <x:c r="A118" s="56" t="str">
        <x:v>Câu cần sửa</x:v>
      </x:c>
      <x:c r="B118" s="66" t="str">
        <x:f>IF(AND(B115="Xong",R179=K179,S179=0),IF(X179="","Không có câu sai/bỏ",X179),"Chỉ hiện sau khi làm xong")</x:f>
        <x:v>Chỉ hiện sau khi làm xong</x:v>
      </x:c>
      <x:c r="C118" s="66"/>
      <x:c r="D118" s="66"/>
      <x:c r="E118" s="66"/>
      <x:c r="F118" s="66"/>
      <x:c r="G118" s="6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</x:row>
    <x:row r="119" ht="28" customHeight="1">
      <x:c r="A119" s="56" t="str">
        <x:v>Lỗi chính</x:v>
      </x:c>
      <x:c r="B119" s="61"/>
      <x:c r="C119" s="56"/>
      <x:c r="D119" s="56"/>
      <x:c r="E119" s="58" t="str">
        <x:v>Xem tuần</x:v>
      </x:c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</x:row>
    <x:row r="120" ht="32" customHeight="1">
      <x:c r="A120" s="56" t="str">
        <x:v>Tiếp theo</x:v>
      </x:c>
      <x:c r="B120" s="66" t="str">
        <x:f>IF(P179="Đã chấm","Chọn 1 lỗi để chữa 5-10 phút rồi dừng.",IF(P179="Trùng hai chế độ","Giữ lịch sử ở Chẩn đoán; xóa bản nhập trùng ở đây.","Hoàn tất khi đủ sức; không ép làm khối tiếp."))</x:f>
        <x:v>Hoàn tất khi đủ sức; không ép làm khối tiếp.</x:v>
      </x:c>
      <x:c r="C120" s="66"/>
      <x:c r="D120" s="66"/>
      <x:c r="E120" s="66"/>
      <x:c r="F120" s="66"/>
      <x:c r="G120" s="6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</x:row>
    <x:row r="121" ht="28" customHeight="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</x:row>
    <x:row r="122" ht="30" customHeight="1">
      <x:c r="A122" s="60" t="str">
        <x:v>N3-R · Đọc · 12 phút làm</x:v>
      </x:c>
      <x:c r="B122" s="60"/>
      <x:c r="C122" s="60"/>
      <x:c r="D122" s="60"/>
      <x:c r="E122" s="60"/>
      <x:c r="F122" s="60"/>
      <x:c r="G122" s="60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</x:row>
    <x:row r="123" ht="28" customHeight="1">
      <x:c r="A123" s="56" t="str">
        <x:v>Nguồn JLPT</x:v>
      </x:c>
      <x:c r="B123" s="58" t="str">
        <x:v>Mở đề</x:v>
      </x:c>
      <x:c r="C123" s="56"/>
      <x:c r="D123" s="56"/>
      <x:c r="E123" s="58" t="str">
        <x:v>Khóa sau khi làm</x:v>
      </x:c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</x:row>
    <x:row r="124" ht="28" customHeight="1">
      <x:c r="A124" s="56" t="str">
        <x:v>Câu</x:v>
      </x:c>
      <x:c r="B124" s="56" t="str">
        <x:v>24</x:v>
      </x:c>
      <x:c r="C124" s="56" t="str">
        <x:v>28</x:v>
      </x:c>
      <x:c r="D124" s="56" t="str">
        <x:v>29</x:v>
      </x:c>
      <x:c r="E124" s="56" t="str">
        <x:v>30</x:v>
      </x:c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</x:row>
    <x:row r="125" ht="28" customHeight="1">
      <x:c r="A125" s="56" t="str">
        <x:v>Bạn chọn</x:v>
      </x:c>
      <x:c r="B125" s="63"/>
      <x:c r="C125" s="63"/>
      <x:c r="D125" s="63"/>
      <x:c r="E125" s="63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</x:row>
    <x:row r="126" ht="28" customHeight="1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</x:row>
    <x:row r="127" ht="28" customHeight="1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</x:row>
    <x:row r="128" ht="28" customHeight="1">
      <x:c r="A128" s="56" t="str">
        <x:v>Ngày thật</x:v>
      </x:c>
      <x:c r="B128" s="64"/>
      <x:c r="C128" s="56" t="str">
        <x:v>Phút làm</x:v>
      </x:c>
      <x:c r="D128" s="61"/>
      <x:c r="E128" s="56" t="str">
        <x:v>Loại câu</x:v>
      </x:c>
      <x:c r="F128" s="61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</x:row>
    <x:row r="129" ht="28" customHeight="1">
      <x:c r="A129" s="56" t="str">
        <x:v>Chấm sau giờ</x:v>
      </x:c>
      <x:c r="B129" s="61"/>
      <x:c r="C129" s="56"/>
      <x:c r="D129" s="56" t="str">
        <x:v>Dở dang: để nguyên; chưa chọn Xong.</x:v>
      </x:c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</x:row>
    <x:row r="130" ht="32" customHeight="1">
      <x:c r="A130" s="56" t="str">
        <x:v>Trạng thái</x:v>
      </x:c>
      <x:c r="B130" s="66" t="str">
        <x:f>P180</x:f>
        <x:v>Chưa làm</x:v>
      </x:c>
      <x:c r="C130" s="66"/>
      <x:c r="D130" s="66"/>
      <x:c r="E130" s="66"/>
      <x:c r="F130" s="66"/>
      <x:c r="G130" s="6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</x:row>
    <x:row r="131" ht="32" customHeight="1">
      <x:c r="A131" s="56" t="str">
        <x:v>Kết quả</x:v>
      </x:c>
      <x:c r="B131" s="66" t="str">
        <x:f>IF(AND(B129="Xong",R180=K180,S180=0),T180&amp;"/"&amp;K180&amp;" đúng; 0 vẫn tính bỏ câu","Đã ghi "&amp;R180&amp;"/"&amp;K180&amp;"; chưa hiện điểm")</x:f>
        <x:v>Đã ghi 0/4; chưa hiện điểm</x:v>
      </x:c>
      <x:c r="C131" s="66"/>
      <x:c r="D131" s="66"/>
      <x:c r="E131" s="66"/>
      <x:c r="F131" s="66"/>
      <x:c r="G131" s="6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</x:row>
    <x:row r="132" ht="32" customHeight="1">
      <x:c r="A132" s="56" t="str">
        <x:v>Câu cần sửa</x:v>
      </x:c>
      <x:c r="B132" s="66" t="str">
        <x:f>IF(AND(B129="Xong",R180=K180,S180=0),IF(X180="","Không có câu sai/bỏ",X180),"Chỉ hiện sau khi làm xong")</x:f>
        <x:v>Chỉ hiện sau khi làm xong</x:v>
      </x:c>
      <x:c r="C132" s="66"/>
      <x:c r="D132" s="66"/>
      <x:c r="E132" s="66"/>
      <x:c r="F132" s="66"/>
      <x:c r="G132" s="6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</x:row>
    <x:row r="133" ht="28" customHeight="1">
      <x:c r="A133" s="56" t="str">
        <x:v>Lỗi chính</x:v>
      </x:c>
      <x:c r="B133" s="61"/>
      <x:c r="C133" s="56"/>
      <x:c r="D133" s="56"/>
      <x:c r="E133" s="58" t="str">
        <x:v>Xem tuần</x:v>
      </x:c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</x:row>
    <x:row r="134" ht="32" customHeight="1">
      <x:c r="A134" s="56" t="str">
        <x:v>Tiếp theo</x:v>
      </x:c>
      <x:c r="B134" s="66" t="str">
        <x:f>IF(P180="Đã chấm","Chọn 1 lỗi để chữa 5-10 phút rồi dừng.",IF(P180="Trùng hai chế độ","Giữ lịch sử ở Chẩn đoán; xóa bản nhập trùng ở đây.","Hoàn tất khi đủ sức; không ép làm khối tiếp."))</x:f>
        <x:v>Hoàn tất khi đủ sức; không ép làm khối tiếp.</x:v>
      </x:c>
      <x:c r="C134" s="66"/>
      <x:c r="D134" s="66"/>
      <x:c r="E134" s="66"/>
      <x:c r="F134" s="66"/>
      <x:c r="G134" s="6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</x:row>
    <x:row r="135" ht="28" customHeight="1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</x:row>
    <x:row r="136" ht="30" customHeight="1">
      <x:c r="A136" s="60" t="str">
        <x:v>N3-L1 · Nghe · 10 phút làm</x:v>
      </x:c>
      <x:c r="B136" s="60"/>
      <x:c r="C136" s="60"/>
      <x:c r="D136" s="60"/>
      <x:c r="E136" s="60"/>
      <x:c r="F136" s="60"/>
      <x:c r="G136" s="60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</x:row>
    <x:row r="137" ht="28" customHeight="1">
      <x:c r="A137" s="56" t="str">
        <x:v>Nguồn JLPT</x:v>
      </x:c>
      <x:c r="B137" s="58" t="str">
        <x:v>Mở đề</x:v>
      </x:c>
      <x:c r="C137" s="56"/>
      <x:c r="D137" s="56"/>
      <x:c r="E137" s="58" t="str">
        <x:v>Khóa sau khi làm</x:v>
      </x:c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</x:row>
    <x:row r="138" ht="28" customHeight="1">
      <x:c r="A138" s="56" t="str">
        <x:v>Câu</x:v>
      </x:c>
      <x:c r="B138" s="56" t="str">
        <x:v>M1-1</x:v>
      </x:c>
      <x:c r="C138" s="56" t="str">
        <x:v>M1-2</x:v>
      </x:c>
      <x:c r="D138" s="56" t="str">
        <x:v>M2-1</x:v>
      </x:c>
      <x:c r="E138" s="56" t="str">
        <x:v>M2-2</x:v>
      </x:c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</x:row>
    <x:row r="139" ht="28" customHeight="1">
      <x:c r="A139" s="56" t="str">
        <x:v>Bạn chọn</x:v>
      </x:c>
      <x:c r="B139" s="63"/>
      <x:c r="C139" s="63"/>
      <x:c r="D139" s="63"/>
      <x:c r="E139" s="63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</x:row>
    <x:row r="140" ht="28" customHeight="1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</x:row>
    <x:row r="141" ht="28" customHeight="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</x:row>
    <x:row r="142" ht="28" customHeight="1">
      <x:c r="A142" s="56" t="str">
        <x:v>Ngày thật</x:v>
      </x:c>
      <x:c r="B142" s="64"/>
      <x:c r="C142" s="56" t="str">
        <x:v>Phút làm</x:v>
      </x:c>
      <x:c r="D142" s="61"/>
      <x:c r="E142" s="56" t="str">
        <x:v>Loại câu</x:v>
      </x:c>
      <x:c r="F142" s="61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</x:row>
    <x:row r="143" ht="28" customHeight="1">
      <x:c r="A143" s="56" t="str">
        <x:v>Chấm sau giờ</x:v>
      </x:c>
      <x:c r="B143" s="61"/>
      <x:c r="C143" s="56"/>
      <x:c r="D143" s="56" t="str">
        <x:v>Dở dang: để nguyên; chưa chọn Xong.</x:v>
      </x:c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</x:row>
    <x:row r="144" ht="32" customHeight="1">
      <x:c r="A144" s="56" t="str">
        <x:v>Trạng thái</x:v>
      </x:c>
      <x:c r="B144" s="66" t="str">
        <x:f>P181</x:f>
        <x:v>Chưa làm</x:v>
      </x:c>
      <x:c r="C144" s="66"/>
      <x:c r="D144" s="66"/>
      <x:c r="E144" s="66"/>
      <x:c r="F144" s="66"/>
      <x:c r="G144" s="6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</x:row>
    <x:row r="145" ht="32" customHeight="1">
      <x:c r="A145" s="56" t="str">
        <x:v>Kết quả</x:v>
      </x:c>
      <x:c r="B145" s="66" t="str">
        <x:f>IF(AND(B143="Xong",R181=K181,S181=0),T181&amp;"/"&amp;K181&amp;" đúng; 0 vẫn tính bỏ câu","Đã ghi "&amp;R181&amp;"/"&amp;K181&amp;"; chưa hiện điểm")</x:f>
        <x:v>Đã ghi 0/4; chưa hiện điểm</x:v>
      </x:c>
      <x:c r="C145" s="66"/>
      <x:c r="D145" s="66"/>
      <x:c r="E145" s="66"/>
      <x:c r="F145" s="66"/>
      <x:c r="G145" s="6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</x:row>
    <x:row r="146" ht="32" customHeight="1">
      <x:c r="A146" s="56" t="str">
        <x:v>Câu cần sửa</x:v>
      </x:c>
      <x:c r="B146" s="66" t="str">
        <x:f>IF(AND(B143="Xong",R181=K181,S181=0),IF(X181="","Không có câu sai/bỏ",X181),"Chỉ hiện sau khi làm xong")</x:f>
        <x:v>Chỉ hiện sau khi làm xong</x:v>
      </x:c>
      <x:c r="C146" s="66"/>
      <x:c r="D146" s="66"/>
      <x:c r="E146" s="66"/>
      <x:c r="F146" s="66"/>
      <x:c r="G146" s="6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</x:row>
    <x:row r="147" ht="28" customHeight="1">
      <x:c r="A147" s="56" t="str">
        <x:v>Lỗi chính</x:v>
      </x:c>
      <x:c r="B147" s="61"/>
      <x:c r="C147" s="56"/>
      <x:c r="D147" s="56"/>
      <x:c r="E147" s="58" t="str">
        <x:v>Xem tuần</x:v>
      </x:c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</x:row>
    <x:row r="148" ht="32" customHeight="1">
      <x:c r="A148" s="56" t="str">
        <x:v>Tiếp theo</x:v>
      </x:c>
      <x:c r="B148" s="66" t="str">
        <x:f>IF(P181="Đã chấm","Chọn 1 lỗi để chữa 5-10 phút rồi dừng.",IF(P181="Trùng hai chế độ","Giữ lịch sử ở Chẩn đoán; xóa bản nhập trùng ở đây.","Hoàn tất khi đủ sức; không ép làm khối tiếp."))</x:f>
        <x:v>Hoàn tất khi đủ sức; không ép làm khối tiếp.</x:v>
      </x:c>
      <x:c r="C148" s="66"/>
      <x:c r="D148" s="66"/>
      <x:c r="E148" s="66"/>
      <x:c r="F148" s="66"/>
      <x:c r="G148" s="6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</x:row>
    <x:row r="149" ht="28" customHeight="1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</x:row>
    <x:row r="150" ht="30" customHeight="1">
      <x:c r="A150" s="60" t="str">
        <x:v>N3-L2 · Nghe · 10 phút làm</x:v>
      </x:c>
      <x:c r="B150" s="60"/>
      <x:c r="C150" s="60"/>
      <x:c r="D150" s="60"/>
      <x:c r="E150" s="60"/>
      <x:c r="F150" s="60"/>
      <x:c r="G150" s="60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</x:row>
    <x:row r="151" ht="28" customHeight="1">
      <x:c r="A151" s="56" t="str">
        <x:v>Nguồn JLPT</x:v>
      </x:c>
      <x:c r="B151" s="58" t="str">
        <x:v>Mở đề</x:v>
      </x:c>
      <x:c r="C151" s="56"/>
      <x:c r="D151" s="56"/>
      <x:c r="E151" s="58" t="str">
        <x:v>Khóa sau khi làm</x:v>
      </x:c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</x:row>
    <x:row r="152" ht="28" customHeight="1">
      <x:c r="A152" s="56" t="str">
        <x:v>Câu</x:v>
      </x:c>
      <x:c r="B152" s="56" t="str">
        <x:v>M3-1</x:v>
      </x:c>
      <x:c r="C152" s="56" t="str">
        <x:v>M3-2</x:v>
      </x:c>
      <x:c r="D152" s="56" t="str">
        <x:v>M4-1</x:v>
      </x:c>
      <x:c r="E152" s="56" t="str">
        <x:v>M4-2</x:v>
      </x:c>
      <x:c r="F152" s="56" t="str">
        <x:v>M5-1</x:v>
      </x:c>
      <x:c r="G152" s="56" t="str">
        <x:v>M5-2</x:v>
      </x:c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</x:row>
    <x:row r="153" ht="28" customHeight="1">
      <x:c r="A153" s="56" t="str">
        <x:v>Bạn chọn</x:v>
      </x:c>
      <x:c r="B153" s="63"/>
      <x:c r="C153" s="63"/>
      <x:c r="D153" s="63"/>
      <x:c r="E153" s="63"/>
      <x:c r="F153" s="63"/>
      <x:c r="G153" s="63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</x:row>
    <x:row r="154" ht="28" customHeight="1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</x:row>
    <x:row r="155" ht="28" customHeight="1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</x:row>
    <x:row r="156" ht="28" customHeight="1">
      <x:c r="A156" s="56" t="str">
        <x:v>Ngày thật</x:v>
      </x:c>
      <x:c r="B156" s="64"/>
      <x:c r="C156" s="56" t="str">
        <x:v>Phút làm</x:v>
      </x:c>
      <x:c r="D156" s="61"/>
      <x:c r="E156" s="56" t="str">
        <x:v>Loại câu</x:v>
      </x:c>
      <x:c r="F156" s="61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</x:row>
    <x:row r="157" ht="28" customHeight="1">
      <x:c r="A157" s="56" t="str">
        <x:v>Chấm sau giờ</x:v>
      </x:c>
      <x:c r="B157" s="61"/>
      <x:c r="C157" s="56"/>
      <x:c r="D157" s="56" t="str">
        <x:v>Dở dang: để nguyên; chưa chọn Xong.</x:v>
      </x:c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</x:row>
    <x:row r="158" ht="32" customHeight="1">
      <x:c r="A158" s="56" t="str">
        <x:v>Trạng thái</x:v>
      </x:c>
      <x:c r="B158" s="66" t="str">
        <x:f>P182</x:f>
        <x:v>Chưa làm</x:v>
      </x:c>
      <x:c r="C158" s="66"/>
      <x:c r="D158" s="66"/>
      <x:c r="E158" s="66"/>
      <x:c r="F158" s="66"/>
      <x:c r="G158" s="6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</x:row>
    <x:row r="159" ht="32" customHeight="1">
      <x:c r="A159" s="56" t="str">
        <x:v>Kết quả</x:v>
      </x:c>
      <x:c r="B159" s="66" t="str">
        <x:f>IF(AND(B157="Xong",R182=K182,S182=0),T182&amp;"/"&amp;K182&amp;" đúng; 0 vẫn tính bỏ câu","Đã ghi "&amp;R182&amp;"/"&amp;K182&amp;"; chưa hiện điểm")</x:f>
        <x:v>Đã ghi 0/6; chưa hiện điểm</x:v>
      </x:c>
      <x:c r="C159" s="66"/>
      <x:c r="D159" s="66"/>
      <x:c r="E159" s="66"/>
      <x:c r="F159" s="66"/>
      <x:c r="G159" s="6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</x:row>
    <x:row r="160" ht="32" customHeight="1">
      <x:c r="A160" s="56" t="str">
        <x:v>Câu cần sửa</x:v>
      </x:c>
      <x:c r="B160" s="66" t="str">
        <x:f>IF(AND(B157="Xong",R182=K182,S182=0),IF(X182="","Không có câu sai/bỏ",X182),"Chỉ hiện sau khi làm xong")</x:f>
        <x:v>Chỉ hiện sau khi làm xong</x:v>
      </x:c>
      <x:c r="C160" s="66"/>
      <x:c r="D160" s="66"/>
      <x:c r="E160" s="66"/>
      <x:c r="F160" s="66"/>
      <x:c r="G160" s="6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</x:row>
    <x:row r="161" ht="28" customHeight="1">
      <x:c r="A161" s="56" t="str">
        <x:v>Lỗi chính</x:v>
      </x:c>
      <x:c r="B161" s="61"/>
      <x:c r="C161" s="56"/>
      <x:c r="D161" s="56"/>
      <x:c r="E161" s="58" t="str">
        <x:v>Xem tuần</x:v>
      </x:c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</x:row>
    <x:row r="162" ht="32" customHeight="1">
      <x:c r="A162" s="56" t="str">
        <x:v>Tiếp theo</x:v>
      </x:c>
      <x:c r="B162" s="66" t="str">
        <x:f>IF(P182="Đã chấm","Chọn 1 lỗi để chữa 5-10 phút rồi dừng.",IF(P182="Trùng hai chế độ","Giữ lịch sử ở Chẩn đoán; xóa bản nhập trùng ở đây.","Hoàn tất khi đủ sức; không ép làm khối tiếp."))</x:f>
        <x:v>Hoàn tất khi đủ sức; không ép làm khối tiếp.</x:v>
      </x:c>
      <x:c r="C162" s="66"/>
      <x:c r="D162" s="66"/>
      <x:c r="E162" s="66"/>
      <x:c r="F162" s="66"/>
      <x:c r="G162" s="6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</x:row>
    <x:row r="163" ht="28" customHeight="1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</x:row>
    <x:row r="164" ht="28" customHeight="1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</x:row>
    <x:row r="165" ht="28" customHeight="1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</x:row>
    <x:row r="166" ht="28" customHeight="1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</x:row>
    <x:row r="167" ht="28" customHeight="1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</x:row>
    <x:row r="168" ht="28" customHeight="1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</x:row>
    <x:row r="169" ht="28" customHeight="1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</x:row>
    <x:row r="170" ht="28" customHeight="1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</x:row>
    <x:row r="171" ht="28" customHeight="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</x:row>
    <x:row r="172" ht="28" customHeight="1">
      <x:c r="A172" s="56"/>
      <x:c r="B172" s="56"/>
      <x:c r="C172" s="56"/>
      <x:c r="D172" s="56"/>
      <x:c r="E172" s="56"/>
      <x:c r="F172" s="56"/>
      <x:c r="G172" s="56"/>
      <x:c r="H172" s="56"/>
      <x:c r="I172" s="56" t="str">
        <x:v>N4-G1</x:v>
      </x:c>
      <x:c r="J172" s="56" t="str">
        <x:f>IF(AND(U172&gt;0,V172&gt;0),"Trùng hai chế độ",IF(U172&gt;0,"Chi tiết",IF(V172&gt;0,"Nhanh","")))</x:f>
      </x:c>
      <x:c r="K172" s="56" t="n">
        <x:v>6</x:v>
      </x:c>
      <x:c r="L172" s="56" t="str">
        <x:f>IF(P172="Đã chấm",IF(J172="Chi tiết",'Chẩn đoán'!F78,T172),"")</x:f>
      </x:c>
      <x:c r="M172" s="56" t="str">
        <x:f>IF(P172="Đã chấm",IF(J172="Chi tiết",'Chẩn đoán'!H78,B16),"")</x:f>
      </x:c>
      <x:c r="N172" s="56" t="str">
        <x:f>IF(P172="Đã chấm",IF(J172="Chi tiết",'Chẩn đoán'!I78,D16),"")</x:f>
      </x:c>
      <x:c r="O172" s="56" t="str">
        <x:f>IF(P172="Đã chấm",IF(J172="Chi tiết",'Chẩn đoán'!J78,F16),"")</x:f>
      </x:c>
      <x:c r="P172" s="56" t="str">
        <x:f>IF(J172="Trùng hai chế độ",J172,IF(J172="Chi tiết",'Chẩn đoán'!K78,W172))</x:f>
        <x:v>Chưa làm</x:v>
      </x:c>
      <x:c r="Q172" s="56" t="str">
        <x:f>IF(AND(P172="Đã chấm",J172="Nhanh",LEN(B21)&gt;0),B21,"")</x:f>
      </x:c>
      <x:c r="R172" s="56" t="n">
        <x:f>SUM(IF(ISBLANK(B13),0,1),IF(ISBLANK(C13),0,1),IF(ISBLANK(D13),0,1),IF(ISBLANK(E13),0,1),IF(ISBLANK(F13),0,1),IF(ISBLANK(G13),0,1))</x:f>
        <x:v>0</x:v>
      </x:c>
      <x:c r="S172" s="56" t="n">
        <x:f>COUNTIF(I16:I21,-1)</x:f>
        <x:v>0</x:v>
      </x:c>
      <x:c r="T172" s="56" t="n">
        <x:f>SUM(J16:J21)</x:f>
        <x:v>0</x:v>
      </x:c>
      <x:c r="U172" s="56" t="n">
        <x:f>COUNTA('Chẩn đoán'!F8:H13,'Chẩn đoán'!H78:J78)</x:f>
        <x:v>0</x:v>
      </x:c>
      <x:c r="V172" s="56" t="n">
        <x:f>COUNTA(B13,C13,D13,E13,F13,G13,B16,D16,F16,B17,B21)</x:f>
        <x:v>0</x:v>
      </x:c>
      <x:c r="W172" s="56" t="str">
        <x:f>IF(V172=0,"Chưa làm",IF(S172&gt;0,"Sửa đáp án",IF(R172&lt;K172,"Còn "&amp;(K172-R172)&amp;" câu",IF(B17&lt;&gt;"Xong","Chọn Xong để chấm",IF(NOT(IF(ISNUMBER(B16),AND(B16&gt;=1,B16&lt;=2958465,MOD(B16,1)=0),FALSE)),"Thiếu/sai ngày",IF(NOT(IF(ISNUMBER(D16),AND(D16&gt;0,D16&lt;=180),FALSE)),"Thiếu/sai phút",IF(AND(F16&lt;&gt;"Mới",F16&lt;&gt;"Ôn lại"),"Chọn Mới/Ôn lại",IF(AND(LEN(B21)&gt;0,COUNTIF('Nhật ký'!$I$63:$I$69,B21)=0),"Sửa mã lỗi","Đã chấm"))))))))</x:f>
        <x:v>Chưa làm</x:v>
      </x:c>
      <x:c r="X172" s="56" t="str">
        <x:f>IF(AND(B17="Xong",R172=K172,S172=0),IF(B13='Chẩn đoán'!N8,"","1, ")&amp;IF(C13='Chẩn đoán'!N9,"","2, ")&amp;IF(D13='Chẩn đoán'!N10,"","3, ")&amp;IF(E13='Chẩn đoán'!N11,"","4, ")&amp;IF(F13='Chẩn đoán'!N12,"","5, ")&amp;IF(G13='Chẩn đoán'!N13,"","6, "),"")</x:f>
      </x:c>
      <x:c r="Y172" s="56" t="n">
        <x:v>6</x:v>
      </x:c>
    </x:row>
    <x:row r="173" ht="28" customHeight="1">
      <x:c r="A173" s="56"/>
      <x:c r="B173" s="56"/>
      <x:c r="C173" s="56"/>
      <x:c r="D173" s="56"/>
      <x:c r="E173" s="56"/>
      <x:c r="F173" s="56"/>
      <x:c r="G173" s="56"/>
      <x:c r="H173" s="56"/>
      <x:c r="I173" s="56" t="str">
        <x:v>N4-G2</x:v>
      </x:c>
      <x:c r="J173" s="56" t="str">
        <x:f>IF(AND(U173&gt;0,V173&gt;0),"Trùng hai chế độ",IF(U173&gt;0,"Chi tiết",IF(V173&gt;0,"Nhanh","")))</x:f>
      </x:c>
      <x:c r="K173" s="56" t="n">
        <x:v>7</x:v>
      </x:c>
      <x:c r="L173" s="56" t="str">
        <x:f>IF(P173="Đã chấm",IF(J173="Chi tiết",'Chẩn đoán'!F79,T173),"")</x:f>
      </x:c>
      <x:c r="M173" s="56" t="str">
        <x:f>IF(P173="Đã chấm",IF(J173="Chi tiết",'Chẩn đoán'!H79,B30),"")</x:f>
      </x:c>
      <x:c r="N173" s="56" t="str">
        <x:f>IF(P173="Đã chấm",IF(J173="Chi tiết",'Chẩn đoán'!I79,D30),"")</x:f>
      </x:c>
      <x:c r="O173" s="56" t="str">
        <x:f>IF(P173="Đã chấm",IF(J173="Chi tiết",'Chẩn đoán'!J79,F30),"")</x:f>
      </x:c>
      <x:c r="P173" s="56" t="str">
        <x:f>IF(J173="Trùng hai chế độ",J173,IF(J173="Chi tiết",'Chẩn đoán'!K79,W173))</x:f>
        <x:v>Chưa làm</x:v>
      </x:c>
      <x:c r="Q173" s="56" t="str">
        <x:f>IF(AND(P173="Đã chấm",J173="Nhanh",LEN(B35)&gt;0),B35,"")</x:f>
      </x:c>
      <x:c r="R173" s="56" t="n">
        <x:f>SUM(IF(ISBLANK(B27),0,1),IF(ISBLANK(C27),0,1),IF(ISBLANK(D27),0,1),IF(ISBLANK(E27),0,1),IF(ISBLANK(F27),0,1),IF(ISBLANK(G27),0,1),IF(ISBLANK(B29),0,1))</x:f>
        <x:v>0</x:v>
      </x:c>
      <x:c r="S173" s="56" t="n">
        <x:f>COUNTIF(I22:I28,-1)</x:f>
        <x:v>0</x:v>
      </x:c>
      <x:c r="T173" s="56" t="n">
        <x:f>SUM(J22:J28)</x:f>
        <x:v>0</x:v>
      </x:c>
      <x:c r="U173" s="56" t="n">
        <x:f>COUNTA('Chẩn đoán'!F14:H20,'Chẩn đoán'!H79:J79)</x:f>
        <x:v>0</x:v>
      </x:c>
      <x:c r="V173" s="56" t="n">
        <x:f>COUNTA(B27,C27,D27,E27,F27,G27,B29,B30,D30,F30,B31,B35)</x:f>
        <x:v>0</x:v>
      </x:c>
      <x:c r="W173" s="56" t="str">
        <x:f>IF(V173=0,"Chưa làm",IF(S173&gt;0,"Sửa đáp án",IF(R173&lt;K173,"Còn "&amp;(K173-R173)&amp;" câu",IF(B31&lt;&gt;"Xong","Chọn Xong để chấm",IF(NOT(IF(ISNUMBER(B30),AND(B30&gt;=1,B30&lt;=2958465,MOD(B30,1)=0),FALSE)),"Thiếu/sai ngày",IF(NOT(IF(ISNUMBER(D30),AND(D30&gt;0,D30&lt;=180),FALSE)),"Thiếu/sai phút",IF(AND(F30&lt;&gt;"Mới",F30&lt;&gt;"Ôn lại"),"Chọn Mới/Ôn lại",IF(AND(LEN(B35)&gt;0,COUNTIF('Nhật ký'!$I$63:$I$69,B35)=0),"Sửa mã lỗi","Đã chấm"))))))))</x:f>
        <x:v>Chưa làm</x:v>
      </x:c>
      <x:c r="X173" s="56" t="str">
        <x:f>IF(AND(B31="Xong",R173=K173,S173=0),IF(B27='Chẩn đoán'!N14,"","16, ")&amp;IF(C27='Chẩn đoán'!N15,"","17, ")&amp;IF(D27='Chẩn đoán'!N16,"","21, ")&amp;IF(E27='Chẩn đoán'!N17,"","22, ")&amp;IF(F27='Chẩn đoán'!N18,"","23, ")&amp;IF(G27='Chẩn đoán'!N19,"","24, ")&amp;IF(B29='Chẩn đoán'!N20,"","25, "),"")</x:f>
      </x:c>
      <x:c r="Y173" s="56" t="n">
        <x:v>7</x:v>
      </x:c>
    </x:row>
    <x:row r="174" ht="28" customHeight="1">
      <x:c r="A174" s="56"/>
      <x:c r="B174" s="56"/>
      <x:c r="C174" s="56"/>
      <x:c r="D174" s="56"/>
      <x:c r="E174" s="56"/>
      <x:c r="F174" s="56"/>
      <x:c r="G174" s="56"/>
      <x:c r="H174" s="56"/>
      <x:c r="I174" s="56" t="str">
        <x:v>N4-V</x:v>
      </x:c>
      <x:c r="J174" s="56" t="str">
        <x:f>IF(AND(U174&gt;0,V174&gt;0),"Trùng hai chế độ",IF(U174&gt;0,"Chi tiết",IF(V174&gt;0,"Nhanh","")))</x:f>
      </x:c>
      <x:c r="K174" s="56" t="n">
        <x:v>10</x:v>
      </x:c>
      <x:c r="L174" s="56" t="str">
        <x:f>IF(P174="Đã chấm",IF(J174="Chi tiết",'Chẩn đoán'!F80,T174),"")</x:f>
      </x:c>
      <x:c r="M174" s="56" t="str">
        <x:f>IF(P174="Đã chấm",IF(J174="Chi tiết",'Chẩn đoán'!H80,B44),"")</x:f>
      </x:c>
      <x:c r="N174" s="56" t="str">
        <x:f>IF(P174="Đã chấm",IF(J174="Chi tiết",'Chẩn đoán'!I80,D44),"")</x:f>
      </x:c>
      <x:c r="O174" s="56" t="str">
        <x:f>IF(P174="Đã chấm",IF(J174="Chi tiết",'Chẩn đoán'!J80,F44),"")</x:f>
      </x:c>
      <x:c r="P174" s="56" t="str">
        <x:f>IF(J174="Trùng hai chế độ",J174,IF(J174="Chi tiết",'Chẩn đoán'!K80,W174))</x:f>
        <x:v>Chưa làm</x:v>
      </x:c>
      <x:c r="Q174" s="56" t="str">
        <x:f>IF(AND(P174="Đã chấm",J174="Nhanh",LEN(B49)&gt;0),B49,"")</x:f>
      </x:c>
      <x:c r="R174" s="56" t="n">
        <x:f>SUM(IF(ISBLANK(B41),0,1),IF(ISBLANK(C41),0,1),IF(ISBLANK(D41),0,1),IF(ISBLANK(E41),0,1),IF(ISBLANK(F41),0,1),IF(ISBLANK(G41),0,1),IF(ISBLANK(B43),0,1),IF(ISBLANK(C43),0,1),IF(ISBLANK(D43),0,1),IF(ISBLANK(E43),0,1))</x:f>
        <x:v>0</x:v>
      </x:c>
      <x:c r="S174" s="56" t="n">
        <x:f>COUNTIF(I29:I38,-1)</x:f>
        <x:v>0</x:v>
      </x:c>
      <x:c r="T174" s="56" t="n">
        <x:f>SUM(J29:J38)</x:f>
        <x:v>0</x:v>
      </x:c>
      <x:c r="U174" s="56" t="n">
        <x:f>COUNTA('Chẩn đoán'!F21:H30,'Chẩn đoán'!H80:J80)</x:f>
        <x:v>0</x:v>
      </x:c>
      <x:c r="V174" s="56" t="n">
        <x:f>COUNTA(B41,C41,D41,E41,F41,G41,B43,C43,D43,E43,B44,D44,F44,B45,B49)</x:f>
        <x:v>0</x:v>
      </x:c>
      <x:c r="W174" s="56" t="str">
        <x:f>IF(V174=0,"Chưa làm",IF(S174&gt;0,"Sửa đáp án",IF(R174&lt;K174,"Còn "&amp;(K174-R174)&amp;" câu",IF(B45&lt;&gt;"Xong","Chọn Xong để chấm",IF(NOT(IF(ISNUMBER(B44),AND(B44&gt;=1,B44&lt;=2958465,MOD(B44,1)=0),FALSE)),"Thiếu/sai ngày",IF(NOT(IF(ISNUMBER(D44),AND(D44&gt;0,D44&lt;=180),FALSE)),"Thiếu/sai phút",IF(AND(F44&lt;&gt;"Mới",F44&lt;&gt;"Ôn lại"),"Chọn Mới/Ôn lại",IF(AND(LEN(B49)&gt;0,COUNTIF('Nhật ký'!$I$63:$I$69,B49)=0),"Sửa mã lỗi","Đã chấm"))))))))</x:f>
        <x:v>Chưa làm</x:v>
      </x:c>
      <x:c r="X174" s="56" t="str">
        <x:f>IF(AND(B45="Xong",R174=K174,S174=0),IF(B41='Chẩn đoán'!N21,"","1, ")&amp;IF(C41='Chẩn đoán'!N22,"","2, ")&amp;IF(D41='Chẩn đoán'!N23,"","10, ")&amp;IF(E41='Chẩn đoán'!N24,"","11, ")&amp;IF(F41='Chẩn đoán'!N25,"","16, ")&amp;IF(G41='Chẩn đoán'!N26,"","17, ")&amp;IF(B43='Chẩn đoán'!N27,"","26, ")&amp;IF(C43='Chẩn đoán'!N28,"","27, ")&amp;IF(D43='Chẩn đoán'!N29,"","31, ")&amp;IF(E43='Chẩn đoán'!N30,"","32, "),"")</x:f>
      </x:c>
      <x:c r="Y174" s="56" t="n">
        <x:v>10</x:v>
      </x:c>
    </x:row>
    <x:row r="175" ht="28" customHeight="1">
      <x:c r="A175" s="56"/>
      <x:c r="B175" s="56"/>
      <x:c r="C175" s="56"/>
      <x:c r="D175" s="56"/>
      <x:c r="E175" s="56"/>
      <x:c r="F175" s="56"/>
      <x:c r="G175" s="56"/>
      <x:c r="H175" s="56"/>
      <x:c r="I175" s="56" t="str">
        <x:v>N4-R</x:v>
      </x:c>
      <x:c r="J175" s="56" t="str">
        <x:f>IF(AND(U175&gt;0,V175&gt;0),"Trùng hai chế độ",IF(U175&gt;0,"Chi tiết",IF(V175&gt;0,"Nhanh","")))</x:f>
      </x:c>
      <x:c r="K175" s="56" t="n">
        <x:v>5</x:v>
      </x:c>
      <x:c r="L175" s="56" t="str">
        <x:f>IF(P175="Đã chấm",IF(J175="Chi tiết",'Chẩn đoán'!F81,T175),"")</x:f>
      </x:c>
      <x:c r="M175" s="56" t="str">
        <x:f>IF(P175="Đã chấm",IF(J175="Chi tiết",'Chẩn đoán'!H81,B58),"")</x:f>
      </x:c>
      <x:c r="N175" s="56" t="str">
        <x:f>IF(P175="Đã chấm",IF(J175="Chi tiết",'Chẩn đoán'!I81,D58),"")</x:f>
      </x:c>
      <x:c r="O175" s="56" t="str">
        <x:f>IF(P175="Đã chấm",IF(J175="Chi tiết",'Chẩn đoán'!J81,F58),"")</x:f>
      </x:c>
      <x:c r="P175" s="56" t="str">
        <x:f>IF(J175="Trùng hai chế độ",J175,IF(J175="Chi tiết",'Chẩn đoán'!K81,W175))</x:f>
        <x:v>Chưa làm</x:v>
      </x:c>
      <x:c r="Q175" s="56" t="str">
        <x:f>IF(AND(P175="Đã chấm",J175="Nhanh",LEN(B63)&gt;0),B63,"")</x:f>
      </x:c>
      <x:c r="R175" s="56" t="n">
        <x:f>SUM(IF(ISBLANK(B55),0,1),IF(ISBLANK(C55),0,1),IF(ISBLANK(D55),0,1),IF(ISBLANK(E55),0,1),IF(ISBLANK(F55),0,1))</x:f>
        <x:v>0</x:v>
      </x:c>
      <x:c r="S175" s="56" t="n">
        <x:f>COUNTIF(I39:I43,-1)</x:f>
        <x:v>0</x:v>
      </x:c>
      <x:c r="T175" s="56" t="n">
        <x:f>SUM(J39:J43)</x:f>
        <x:v>0</x:v>
      </x:c>
      <x:c r="U175" s="56" t="n">
        <x:f>COUNTA('Chẩn đoán'!F31:H35,'Chẩn đoán'!H81:J81)</x:f>
        <x:v>0</x:v>
      </x:c>
      <x:c r="V175" s="56" t="n">
        <x:f>COUNTA(B55,C55,D55,E55,F55,B58,D58,F58,B59,B63)</x:f>
        <x:v>0</x:v>
      </x:c>
      <x:c r="W175" s="56" t="str">
        <x:f>IF(V175=0,"Chưa làm",IF(S175&gt;0,"Sửa đáp án",IF(R175&lt;K175,"Còn "&amp;(K175-R175)&amp;" câu",IF(B59&lt;&gt;"Xong","Chọn Xong để chấm",IF(NOT(IF(ISNUMBER(B58),AND(B58&gt;=1,B58&lt;=2958465,MOD(B58,1)=0),FALSE)),"Thiếu/sai ngày",IF(NOT(IF(ISNUMBER(D58),AND(D58&gt;0,D58&lt;=180),FALSE)),"Thiếu/sai phút",IF(AND(F58&lt;&gt;"Mới",F58&lt;&gt;"Ôn lại"),"Chọn Mới/Ôn lại",IF(AND(LEN(B63)&gt;0,COUNTIF('Nhật ký'!$I$63:$I$69,B63)=0),"Sửa mã lỗi","Đã chấm"))))))))</x:f>
        <x:v>Chưa làm</x:v>
      </x:c>
      <x:c r="X175" s="56" t="str">
        <x:f>IF(AND(B59="Xong",R175=K175,S175=0),IF(B55='Chẩn đoán'!N31,"","26, ")&amp;IF(C55='Chẩn đoán'!N32,"","30, ")&amp;IF(D55='Chẩn đoán'!N33,"","31, ")&amp;IF(E55='Chẩn đoán'!N34,"","32, ")&amp;IF(F55='Chẩn đoán'!N35,"","33, "),"")</x:f>
      </x:c>
      <x:c r="Y175" s="56" t="n">
        <x:v>5</x:v>
      </x:c>
    </x:row>
    <x:row r="176" ht="28" customHeight="1">
      <x:c r="A176" s="56"/>
      <x:c r="B176" s="56"/>
      <x:c r="C176" s="56"/>
      <x:c r="D176" s="56"/>
      <x:c r="E176" s="56"/>
      <x:c r="F176" s="56"/>
      <x:c r="G176" s="56"/>
      <x:c r="H176" s="56"/>
      <x:c r="I176" s="56" t="str">
        <x:v>N4-L1</x:v>
      </x:c>
      <x:c r="J176" s="56" t="str">
        <x:f>IF(AND(U176&gt;0,V176&gt;0),"Trùng hai chế độ",IF(U176&gt;0,"Chi tiết",IF(V176&gt;0,"Nhanh","")))</x:f>
      </x:c>
      <x:c r="K176" s="56" t="n">
        <x:v>4</x:v>
      </x:c>
      <x:c r="L176" s="56" t="str">
        <x:f>IF(P176="Đã chấm",IF(J176="Chi tiết",'Chẩn đoán'!F82,T176),"")</x:f>
      </x:c>
      <x:c r="M176" s="56" t="str">
        <x:f>IF(P176="Đã chấm",IF(J176="Chi tiết",'Chẩn đoán'!H82,B72),"")</x:f>
      </x:c>
      <x:c r="N176" s="56" t="str">
        <x:f>IF(P176="Đã chấm",IF(J176="Chi tiết",'Chẩn đoán'!I82,D72),"")</x:f>
      </x:c>
      <x:c r="O176" s="56" t="str">
        <x:f>IF(P176="Đã chấm",IF(J176="Chi tiết",'Chẩn đoán'!J82,F72),"")</x:f>
      </x:c>
      <x:c r="P176" s="56" t="str">
        <x:f>IF(J176="Trùng hai chế độ",J176,IF(J176="Chi tiết",'Chẩn đoán'!K82,W176))</x:f>
        <x:v>Chưa làm</x:v>
      </x:c>
      <x:c r="Q176" s="56" t="str">
        <x:f>IF(AND(P176="Đã chấm",J176="Nhanh",LEN(B77)&gt;0),B77,"")</x:f>
      </x:c>
      <x:c r="R176" s="56" t="n">
        <x:f>SUM(IF(ISBLANK(B69),0,1),IF(ISBLANK(C69),0,1),IF(ISBLANK(D69),0,1),IF(ISBLANK(E69),0,1))</x:f>
        <x:v>0</x:v>
      </x:c>
      <x:c r="S176" s="56" t="n">
        <x:f>COUNTIF(I44:I47,-1)</x:f>
        <x:v>0</x:v>
      </x:c>
      <x:c r="T176" s="56" t="n">
        <x:f>SUM(J44:J47)</x:f>
        <x:v>0</x:v>
      </x:c>
      <x:c r="U176" s="56" t="n">
        <x:f>COUNTA('Chẩn đoán'!F36:H39,'Chẩn đoán'!H82:J82)</x:f>
        <x:v>0</x:v>
      </x:c>
      <x:c r="V176" s="56" t="n">
        <x:f>COUNTA(B69,C69,D69,E69,B72,D72,F72,B73,B77)</x:f>
        <x:v>0</x:v>
      </x:c>
      <x:c r="W176" s="56" t="str">
        <x:f>IF(V176=0,"Chưa làm",IF(S176&gt;0,"Sửa đáp án",IF(R176&lt;K176,"Còn "&amp;(K176-R176)&amp;" câu",IF(B73&lt;&gt;"Xong","Chọn Xong để chấm",IF(NOT(IF(ISNUMBER(B72),AND(B72&gt;=1,B72&lt;=2958465,MOD(B72,1)=0),FALSE)),"Thiếu/sai ngày",IF(NOT(IF(ISNUMBER(D72),AND(D72&gt;0,D72&lt;=180),FALSE)),"Thiếu/sai phút",IF(AND(F72&lt;&gt;"Mới",F72&lt;&gt;"Ôn lại"),"Chọn Mới/Ôn lại",IF(AND(LEN(B77)&gt;0,COUNTIF('Nhật ký'!$I$63:$I$69,B77)=0),"Sửa mã lỗi","Đã chấm"))))))))</x:f>
        <x:v>Chưa làm</x:v>
      </x:c>
      <x:c r="X176" s="56" t="str">
        <x:f>IF(AND(B73="Xong",R176=K176,S176=0),IF(B69='Chẩn đoán'!N36,"","M1-1, ")&amp;IF(C69='Chẩn đoán'!N37,"","M1-2, ")&amp;IF(D69='Chẩn đoán'!N38,"","M2-1, ")&amp;IF(E69='Chẩn đoán'!N39,"","M2-2, "),"")</x:f>
      </x:c>
      <x:c r="Y176" s="56" t="n">
        <x:v>4</x:v>
      </x:c>
    </x:row>
    <x:row r="177" ht="28" customHeight="1">
      <x:c r="A177" s="56"/>
      <x:c r="B177" s="56"/>
      <x:c r="C177" s="56"/>
      <x:c r="D177" s="56"/>
      <x:c r="E177" s="56"/>
      <x:c r="F177" s="56"/>
      <x:c r="G177" s="56"/>
      <x:c r="H177" s="56"/>
      <x:c r="I177" s="56" t="str">
        <x:v>N4-L2</x:v>
      </x:c>
      <x:c r="J177" s="56" t="str">
        <x:f>IF(AND(U177&gt;0,V177&gt;0),"Trùng hai chế độ",IF(U177&gt;0,"Chi tiết",IF(V177&gt;0,"Nhanh","")))</x:f>
      </x:c>
      <x:c r="K177" s="56" t="n">
        <x:v>4</x:v>
      </x:c>
      <x:c r="L177" s="56" t="str">
        <x:f>IF(P177="Đã chấm",IF(J177="Chi tiết",'Chẩn đoán'!F83,T177),"")</x:f>
      </x:c>
      <x:c r="M177" s="56" t="str">
        <x:f>IF(P177="Đã chấm",IF(J177="Chi tiết",'Chẩn đoán'!H83,B86),"")</x:f>
      </x:c>
      <x:c r="N177" s="56" t="str">
        <x:f>IF(P177="Đã chấm",IF(J177="Chi tiết",'Chẩn đoán'!I83,D86),"")</x:f>
      </x:c>
      <x:c r="O177" s="56" t="str">
        <x:f>IF(P177="Đã chấm",IF(J177="Chi tiết",'Chẩn đoán'!J83,F86),"")</x:f>
      </x:c>
      <x:c r="P177" s="56" t="str">
        <x:f>IF(J177="Trùng hai chế độ",J177,IF(J177="Chi tiết",'Chẩn đoán'!K83,W177))</x:f>
        <x:v>Chưa làm</x:v>
      </x:c>
      <x:c r="Q177" s="56" t="str">
        <x:f>IF(AND(P177="Đã chấm",J177="Nhanh",LEN(B91)&gt;0),B91,"")</x:f>
      </x:c>
      <x:c r="R177" s="56" t="n">
        <x:f>SUM(IF(ISBLANK(B83),0,1),IF(ISBLANK(C83),0,1),IF(ISBLANK(D83),0,1),IF(ISBLANK(E83),0,1))</x:f>
        <x:v>0</x:v>
      </x:c>
      <x:c r="S177" s="56" t="n">
        <x:f>COUNTIF(I48:I51,-1)</x:f>
        <x:v>0</x:v>
      </x:c>
      <x:c r="T177" s="56" t="n">
        <x:f>SUM(J48:J51)</x:f>
        <x:v>0</x:v>
      </x:c>
      <x:c r="U177" s="56" t="n">
        <x:f>COUNTA('Chẩn đoán'!F40:H43,'Chẩn đoán'!H83:J83)</x:f>
        <x:v>0</x:v>
      </x:c>
      <x:c r="V177" s="56" t="n">
        <x:f>COUNTA(B83,C83,D83,E83,B86,D86,F86,B87,B91)</x:f>
        <x:v>0</x:v>
      </x:c>
      <x:c r="W177" s="56" t="str">
        <x:f>IF(V177=0,"Chưa làm",IF(S177&gt;0,"Sửa đáp án",IF(R177&lt;K177,"Còn "&amp;(K177-R177)&amp;" câu",IF(B87&lt;&gt;"Xong","Chọn Xong để chấm",IF(NOT(IF(ISNUMBER(B86),AND(B86&gt;=1,B86&lt;=2958465,MOD(B86,1)=0),FALSE)),"Thiếu/sai ngày",IF(NOT(IF(ISNUMBER(D86),AND(D86&gt;0,D86&lt;=180),FALSE)),"Thiếu/sai phút",IF(AND(F86&lt;&gt;"Mới",F86&lt;&gt;"Ôn lại"),"Chọn Mới/Ôn lại",IF(AND(LEN(B91)&gt;0,COUNTIF('Nhật ký'!$I$63:$I$69,B91)=0),"Sửa mã lỗi","Đã chấm"))))))))</x:f>
        <x:v>Chưa làm</x:v>
      </x:c>
      <x:c r="X177" s="56" t="str">
        <x:f>IF(AND(B87="Xong",R177=K177,S177=0),IF(B83='Chẩn đoán'!N40,"","M3-1, ")&amp;IF(C83='Chẩn đoán'!N41,"","M3-2, ")&amp;IF(D83='Chẩn đoán'!N42,"","M4-1, ")&amp;IF(E83='Chẩn đoán'!N43,"","M4-2, "),"")</x:f>
      </x:c>
      <x:c r="Y177" s="56" t="n">
        <x:v>4</x:v>
      </x:c>
    </x:row>
    <x:row r="178" ht="28" customHeight="1">
      <x:c r="A178" s="56"/>
      <x:c r="B178" s="56"/>
      <x:c r="C178" s="56"/>
      <x:c r="D178" s="56"/>
      <x:c r="E178" s="56"/>
      <x:c r="F178" s="56"/>
      <x:c r="G178" s="56"/>
      <x:c r="H178" s="56"/>
      <x:c r="I178" s="56" t="str">
        <x:v>N3-G</x:v>
      </x:c>
      <x:c r="J178" s="56" t="str">
        <x:f>IF(AND(U178&gt;0,V178&gt;0),"Trùng hai chế độ",IF(U178&gt;0,"Chi tiết",IF(V178&gt;0,"Nhanh","")))</x:f>
      </x:c>
      <x:c r="K178" s="56" t="n">
        <x:v>6</x:v>
      </x:c>
      <x:c r="L178" s="56" t="str">
        <x:f>IF(P178="Đã chấm",IF(J178="Chi tiết",'Chẩn đoán'!F84,T178),"")</x:f>
      </x:c>
      <x:c r="M178" s="56" t="str">
        <x:f>IF(P178="Đã chấm",IF(J178="Chi tiết",'Chẩn đoán'!H84,B100),"")</x:f>
      </x:c>
      <x:c r="N178" s="56" t="str">
        <x:f>IF(P178="Đã chấm",IF(J178="Chi tiết",'Chẩn đoán'!I84,D100),"")</x:f>
      </x:c>
      <x:c r="O178" s="56" t="str">
        <x:f>IF(P178="Đã chấm",IF(J178="Chi tiết",'Chẩn đoán'!J84,F100),"")</x:f>
      </x:c>
      <x:c r="P178" s="56" t="str">
        <x:f>IF(J178="Trùng hai chế độ",J178,IF(J178="Chi tiết",'Chẩn đoán'!K84,W178))</x:f>
        <x:v>Chưa làm</x:v>
      </x:c>
      <x:c r="Q178" s="56" t="str">
        <x:f>IF(AND(P178="Đã chấm",J178="Nhanh",LEN(B105)&gt;0),B105,"")</x:f>
      </x:c>
      <x:c r="R178" s="56" t="n">
        <x:f>SUM(IF(ISBLANK(B97),0,1),IF(ISBLANK(C97),0,1),IF(ISBLANK(D97),0,1),IF(ISBLANK(E97),0,1),IF(ISBLANK(F97),0,1),IF(ISBLANK(G97),0,1))</x:f>
        <x:v>0</x:v>
      </x:c>
      <x:c r="S178" s="56" t="n">
        <x:f>COUNTIF(I52:I57,-1)</x:f>
        <x:v>0</x:v>
      </x:c>
      <x:c r="T178" s="56" t="n">
        <x:f>SUM(J52:J57)</x:f>
        <x:v>0</x:v>
      </x:c>
      <x:c r="U178" s="56" t="n">
        <x:f>COUNTA('Chẩn đoán'!F44:H49,'Chẩn đoán'!H84:J84)</x:f>
        <x:v>0</x:v>
      </x:c>
      <x:c r="V178" s="56" t="n">
        <x:f>COUNTA(B97,C97,D97,E97,F97,G97,B100,D100,F100,B101,B105)</x:f>
        <x:v>0</x:v>
      </x:c>
      <x:c r="W178" s="56" t="str">
        <x:f>IF(V178=0,"Chưa làm",IF(S178&gt;0,"Sửa đáp án",IF(R178&lt;K178,"Còn "&amp;(K178-R178)&amp;" câu",IF(B101&lt;&gt;"Xong","Chọn Xong để chấm",IF(NOT(IF(ISNUMBER(B100),AND(B100&gt;=1,B100&lt;=2958465,MOD(B100,1)=0),FALSE)),"Thiếu/sai ngày",IF(NOT(IF(ISNUMBER(D100),AND(D100&gt;0,D100&lt;=180),FALSE)),"Thiếu/sai phút",IF(AND(F100&lt;&gt;"Mới",F100&lt;&gt;"Ôn lại"),"Chọn Mới/Ôn lại",IF(AND(LEN(B105)&gt;0,COUNTIF('Nhật ký'!$I$63:$I$69,B105)=0),"Sửa mã lỗi","Đã chấm"))))))))</x:f>
        <x:v>Chưa làm</x:v>
      </x:c>
      <x:c r="X178" s="56" t="str">
        <x:f>IF(AND(B101="Xong",R178=K178,S178=0),IF(B97='Chẩn đoán'!N44,"","1, ")&amp;IF(C97='Chẩn đoán'!N45,"","2, ")&amp;IF(D97='Chẩn đoán'!N46,"","3, ")&amp;IF(E97='Chẩn đoán'!N47,"","4, ")&amp;IF(F97='Chẩn đoán'!N48,"","14, ")&amp;IF(G97='Chẩn đoán'!N49,"","15, "),"")</x:f>
      </x:c>
      <x:c r="Y178" s="56" t="n">
        <x:v>6</x:v>
      </x:c>
    </x:row>
    <x:row r="179" ht="28" customHeight="1">
      <x:c r="A179" s="56"/>
      <x:c r="B179" s="56"/>
      <x:c r="C179" s="56"/>
      <x:c r="D179" s="56"/>
      <x:c r="E179" s="56"/>
      <x:c r="F179" s="56"/>
      <x:c r="G179" s="56"/>
      <x:c r="H179" s="56"/>
      <x:c r="I179" s="56" t="str">
        <x:v>N3-V</x:v>
      </x:c>
      <x:c r="J179" s="56" t="str">
        <x:f>IF(AND(U179&gt;0,V179&gt;0),"Trùng hai chế độ",IF(U179&gt;0,"Chi tiết",IF(V179&gt;0,"Nhanh","")))</x:f>
      </x:c>
      <x:c r="K179" s="56" t="n">
        <x:v>10</x:v>
      </x:c>
      <x:c r="L179" s="56" t="str">
        <x:f>IF(P179="Đã chấm",IF(J179="Chi tiết",'Chẩn đoán'!F85,T179),"")</x:f>
      </x:c>
      <x:c r="M179" s="56" t="str">
        <x:f>IF(P179="Đã chấm",IF(J179="Chi tiết",'Chẩn đoán'!H85,B114),"")</x:f>
      </x:c>
      <x:c r="N179" s="56" t="str">
        <x:f>IF(P179="Đã chấm",IF(J179="Chi tiết",'Chẩn đoán'!I85,D114),"")</x:f>
      </x:c>
      <x:c r="O179" s="56" t="str">
        <x:f>IF(P179="Đã chấm",IF(J179="Chi tiết",'Chẩn đoán'!J85,F114),"")</x:f>
      </x:c>
      <x:c r="P179" s="56" t="str">
        <x:f>IF(J179="Trùng hai chế độ",J179,IF(J179="Chi tiết",'Chẩn đoán'!K85,W179))</x:f>
        <x:v>Chưa làm</x:v>
      </x:c>
      <x:c r="Q179" s="56" t="str">
        <x:f>IF(AND(P179="Đã chấm",J179="Nhanh",LEN(B119)&gt;0),B119,"")</x:f>
      </x:c>
      <x:c r="R179" s="56" t="n">
        <x:f>SUM(IF(ISBLANK(B111),0,1),IF(ISBLANK(C111),0,1),IF(ISBLANK(D111),0,1),IF(ISBLANK(E111),0,1),IF(ISBLANK(F111),0,1),IF(ISBLANK(G111),0,1),IF(ISBLANK(B113),0,1),IF(ISBLANK(C113),0,1),IF(ISBLANK(D113),0,1),IF(ISBLANK(E113),0,1))</x:f>
        <x:v>0</x:v>
      </x:c>
      <x:c r="S179" s="56" t="n">
        <x:f>COUNTIF(I58:I67,-1)</x:f>
        <x:v>0</x:v>
      </x:c>
      <x:c r="T179" s="56" t="n">
        <x:f>SUM(J58:J67)</x:f>
        <x:v>0</x:v>
      </x:c>
      <x:c r="U179" s="56" t="n">
        <x:f>COUNTA('Chẩn đoán'!F50:H59,'Chẩn đoán'!H85:J85)</x:f>
        <x:v>0</x:v>
      </x:c>
      <x:c r="V179" s="56" t="n">
        <x:f>COUNTA(B111,C111,D111,E111,F111,G111,B113,C113,D113,E113,B114,D114,F114,B115,B119)</x:f>
        <x:v>0</x:v>
      </x:c>
      <x:c r="W179" s="56" t="str">
        <x:f>IF(V179=0,"Chưa làm",IF(S179&gt;0,"Sửa đáp án",IF(R179&lt;K179,"Còn "&amp;(K179-R179)&amp;" câu",IF(B115&lt;&gt;"Xong","Chọn Xong để chấm",IF(NOT(IF(ISNUMBER(B114),AND(B114&gt;=1,B114&lt;=2958465,MOD(B114,1)=0),FALSE)),"Thiếu/sai ngày",IF(NOT(IF(ISNUMBER(D114),AND(D114&gt;0,D114&lt;=180),FALSE)),"Thiếu/sai phút",IF(AND(F114&lt;&gt;"Mới",F114&lt;&gt;"Ôn lại"),"Chọn Mới/Ôn lại",IF(AND(LEN(B119)&gt;0,COUNTIF('Nhật ký'!$I$63:$I$69,B119)=0),"Sửa mã lỗi","Đã chấm"))))))))</x:f>
        <x:v>Chưa làm</x:v>
      </x:c>
      <x:c r="X179" s="56" t="str">
        <x:f>IF(AND(B115="Xong",R179=K179,S179=0),IF(B111='Chẩn đoán'!N50,"","1, ")&amp;IF(C111='Chẩn đoán'!N51,"","2, ")&amp;IF(D111='Chẩn đoán'!N52,"","9, ")&amp;IF(E111='Chẩn đoán'!N53,"","10, ")&amp;IF(F111='Chẩn đoán'!N54,"","15, ")&amp;IF(G111='Chẩn đoán'!N55,"","16, ")&amp;IF(B113='Chẩn đoán'!N56,"","26, ")&amp;IF(C113='Chẩn đoán'!N57,"","27, ")&amp;IF(D113='Chẩn đoán'!N58,"","31, ")&amp;IF(E113='Chẩn đoán'!N59,"","32, "),"")</x:f>
      </x:c>
      <x:c r="Y179" s="56" t="n">
        <x:v>10</x:v>
      </x:c>
    </x:row>
    <x:row r="180" ht="28" customHeight="1">
      <x:c r="A180" s="56"/>
      <x:c r="B180" s="56"/>
      <x:c r="C180" s="56"/>
      <x:c r="D180" s="56"/>
      <x:c r="E180" s="56"/>
      <x:c r="F180" s="56"/>
      <x:c r="G180" s="56"/>
      <x:c r="H180" s="56"/>
      <x:c r="I180" s="56" t="str">
        <x:v>N3-R</x:v>
      </x:c>
      <x:c r="J180" s="56" t="str">
        <x:f>IF(AND(U180&gt;0,V180&gt;0),"Trùng hai chế độ",IF(U180&gt;0,"Chi tiết",IF(V180&gt;0,"Nhanh","")))</x:f>
      </x:c>
      <x:c r="K180" s="56" t="n">
        <x:v>4</x:v>
      </x:c>
      <x:c r="L180" s="56" t="str">
        <x:f>IF(P180="Đã chấm",IF(J180="Chi tiết",'Chẩn đoán'!F86,T180),"")</x:f>
      </x:c>
      <x:c r="M180" s="56" t="str">
        <x:f>IF(P180="Đã chấm",IF(J180="Chi tiết",'Chẩn đoán'!H86,B128),"")</x:f>
      </x:c>
      <x:c r="N180" s="56" t="str">
        <x:f>IF(P180="Đã chấm",IF(J180="Chi tiết",'Chẩn đoán'!I86,D128),"")</x:f>
      </x:c>
      <x:c r="O180" s="56" t="str">
        <x:f>IF(P180="Đã chấm",IF(J180="Chi tiết",'Chẩn đoán'!J86,F128),"")</x:f>
      </x:c>
      <x:c r="P180" s="56" t="str">
        <x:f>IF(J180="Trùng hai chế độ",J180,IF(J180="Chi tiết",'Chẩn đoán'!K86,W180))</x:f>
        <x:v>Chưa làm</x:v>
      </x:c>
      <x:c r="Q180" s="56" t="str">
        <x:f>IF(AND(P180="Đã chấm",J180="Nhanh",LEN(B133)&gt;0),B133,"")</x:f>
      </x:c>
      <x:c r="R180" s="56" t="n">
        <x:f>SUM(IF(ISBLANK(B125),0,1),IF(ISBLANK(C125),0,1),IF(ISBLANK(D125),0,1),IF(ISBLANK(E125),0,1))</x:f>
        <x:v>0</x:v>
      </x:c>
      <x:c r="S180" s="56" t="n">
        <x:f>COUNTIF(I68:I71,-1)</x:f>
        <x:v>0</x:v>
      </x:c>
      <x:c r="T180" s="56" t="n">
        <x:f>SUM(J68:J71)</x:f>
        <x:v>0</x:v>
      </x:c>
      <x:c r="U180" s="56" t="n">
        <x:f>COUNTA('Chẩn đoán'!F60:H63,'Chẩn đoán'!H86:J86)</x:f>
        <x:v>0</x:v>
      </x:c>
      <x:c r="V180" s="56" t="n">
        <x:f>COUNTA(B125,C125,D125,E125,B128,D128,F128,B129,B133)</x:f>
        <x:v>0</x:v>
      </x:c>
      <x:c r="W180" s="56" t="str">
        <x:f>IF(V180=0,"Chưa làm",IF(S180&gt;0,"Sửa đáp án",IF(R180&lt;K180,"Còn "&amp;(K180-R180)&amp;" câu",IF(B129&lt;&gt;"Xong","Chọn Xong để chấm",IF(NOT(IF(ISNUMBER(B128),AND(B128&gt;=1,B128&lt;=2958465,MOD(B128,1)=0),FALSE)),"Thiếu/sai ngày",IF(NOT(IF(ISNUMBER(D128),AND(D128&gt;0,D128&lt;=180),FALSE)),"Thiếu/sai phút",IF(AND(F128&lt;&gt;"Mới",F128&lt;&gt;"Ôn lại"),"Chọn Mới/Ôn lại",IF(AND(LEN(B133)&gt;0,COUNTIF('Nhật ký'!$I$63:$I$69,B133)=0),"Sửa mã lỗi","Đã chấm"))))))))</x:f>
        <x:v>Chưa làm</x:v>
      </x:c>
      <x:c r="X180" s="56" t="str">
        <x:f>IF(AND(B129="Xong",R180=K180,S180=0),IF(B125='Chẩn đoán'!N60,"","24, ")&amp;IF(C125='Chẩn đoán'!N61,"","28, ")&amp;IF(D125='Chẩn đoán'!N62,"","29, ")&amp;IF(E125='Chẩn đoán'!N63,"","30, "),"")</x:f>
      </x:c>
      <x:c r="Y180" s="56" t="n">
        <x:v>4</x:v>
      </x:c>
    </x:row>
    <x:row r="181" ht="28" customHeight="1">
      <x:c r="A181" s="56"/>
      <x:c r="B181" s="56"/>
      <x:c r="C181" s="56"/>
      <x:c r="D181" s="56"/>
      <x:c r="E181" s="56"/>
      <x:c r="F181" s="56"/>
      <x:c r="G181" s="56"/>
      <x:c r="H181" s="56"/>
      <x:c r="I181" s="56" t="str">
        <x:v>N3-L1</x:v>
      </x:c>
      <x:c r="J181" s="56" t="str">
        <x:f>IF(AND(U181&gt;0,V181&gt;0),"Trùng hai chế độ",IF(U181&gt;0,"Chi tiết",IF(V181&gt;0,"Nhanh","")))</x:f>
      </x:c>
      <x:c r="K181" s="56" t="n">
        <x:v>4</x:v>
      </x:c>
      <x:c r="L181" s="56" t="str">
        <x:f>IF(P181="Đã chấm",IF(J181="Chi tiết",'Chẩn đoán'!F87,T181),"")</x:f>
      </x:c>
      <x:c r="M181" s="56" t="str">
        <x:f>IF(P181="Đã chấm",IF(J181="Chi tiết",'Chẩn đoán'!H87,B142),"")</x:f>
      </x:c>
      <x:c r="N181" s="56" t="str">
        <x:f>IF(P181="Đã chấm",IF(J181="Chi tiết",'Chẩn đoán'!I87,D142),"")</x:f>
      </x:c>
      <x:c r="O181" s="56" t="str">
        <x:f>IF(P181="Đã chấm",IF(J181="Chi tiết",'Chẩn đoán'!J87,F142),"")</x:f>
      </x:c>
      <x:c r="P181" s="56" t="str">
        <x:f>IF(J181="Trùng hai chế độ",J181,IF(J181="Chi tiết",'Chẩn đoán'!K87,W181))</x:f>
        <x:v>Chưa làm</x:v>
      </x:c>
      <x:c r="Q181" s="56" t="str">
        <x:f>IF(AND(P181="Đã chấm",J181="Nhanh",LEN(B147)&gt;0),B147,"")</x:f>
      </x:c>
      <x:c r="R181" s="56" t="n">
        <x:f>SUM(IF(ISBLANK(B139),0,1),IF(ISBLANK(C139),0,1),IF(ISBLANK(D139),0,1),IF(ISBLANK(E139),0,1))</x:f>
        <x:v>0</x:v>
      </x:c>
      <x:c r="S181" s="56" t="n">
        <x:f>COUNTIF(I72:I75,-1)</x:f>
        <x:v>0</x:v>
      </x:c>
      <x:c r="T181" s="56" t="n">
        <x:f>SUM(J72:J75)</x:f>
        <x:v>0</x:v>
      </x:c>
      <x:c r="U181" s="56" t="n">
        <x:f>COUNTA('Chẩn đoán'!F64:H67,'Chẩn đoán'!H87:J87)</x:f>
        <x:v>0</x:v>
      </x:c>
      <x:c r="V181" s="56" t="n">
        <x:f>COUNTA(B139,C139,D139,E139,B142,D142,F142,B143,B147)</x:f>
        <x:v>0</x:v>
      </x:c>
      <x:c r="W181" s="56" t="str">
        <x:f>IF(V181=0,"Chưa làm",IF(S181&gt;0,"Sửa đáp án",IF(R181&lt;K181,"Còn "&amp;(K181-R181)&amp;" câu",IF(B143&lt;&gt;"Xong","Chọn Xong để chấm",IF(NOT(IF(ISNUMBER(B142),AND(B142&gt;=1,B142&lt;=2958465,MOD(B142,1)=0),FALSE)),"Thiếu/sai ngày",IF(NOT(IF(ISNUMBER(D142),AND(D142&gt;0,D142&lt;=180),FALSE)),"Thiếu/sai phút",IF(AND(F142&lt;&gt;"Mới",F142&lt;&gt;"Ôn lại"),"Chọn Mới/Ôn lại",IF(AND(LEN(B147)&gt;0,COUNTIF('Nhật ký'!$I$63:$I$69,B147)=0),"Sửa mã lỗi","Đã chấm"))))))))</x:f>
        <x:v>Chưa làm</x:v>
      </x:c>
      <x:c r="X181" s="56" t="str">
        <x:f>IF(AND(B143="Xong",R181=K181,S181=0),IF(B139='Chẩn đoán'!N64,"","M1-1, ")&amp;IF(C139='Chẩn đoán'!N65,"","M1-2, ")&amp;IF(D139='Chẩn đoán'!N66,"","M2-1, ")&amp;IF(E139='Chẩn đoán'!N67,"","M2-2, "),"")</x:f>
      </x:c>
      <x:c r="Y181" s="56" t="n">
        <x:v>4</x:v>
      </x:c>
    </x:row>
    <x:row r="182" ht="28" customHeight="1">
      <x:c r="A182" s="56"/>
      <x:c r="B182" s="56"/>
      <x:c r="C182" s="56"/>
      <x:c r="D182" s="56"/>
      <x:c r="E182" s="56"/>
      <x:c r="F182" s="56"/>
      <x:c r="G182" s="56"/>
      <x:c r="H182" s="56"/>
      <x:c r="I182" s="56" t="str">
        <x:v>N3-L2</x:v>
      </x:c>
      <x:c r="J182" s="56" t="str">
        <x:f>IF(AND(U182&gt;0,V182&gt;0),"Trùng hai chế độ",IF(U182&gt;0,"Chi tiết",IF(V182&gt;0,"Nhanh","")))</x:f>
      </x:c>
      <x:c r="K182" s="56" t="n">
        <x:v>6</x:v>
      </x:c>
      <x:c r="L182" s="56" t="str">
        <x:f>IF(P182="Đã chấm",IF(J182="Chi tiết",'Chẩn đoán'!F88,T182),"")</x:f>
      </x:c>
      <x:c r="M182" s="56" t="str">
        <x:f>IF(P182="Đã chấm",IF(J182="Chi tiết",'Chẩn đoán'!H88,B156),"")</x:f>
      </x:c>
      <x:c r="N182" s="56" t="str">
        <x:f>IF(P182="Đã chấm",IF(J182="Chi tiết",'Chẩn đoán'!I88,D156),"")</x:f>
      </x:c>
      <x:c r="O182" s="56" t="str">
        <x:f>IF(P182="Đã chấm",IF(J182="Chi tiết",'Chẩn đoán'!J88,F156),"")</x:f>
      </x:c>
      <x:c r="P182" s="56" t="str">
        <x:f>IF(J182="Trùng hai chế độ",J182,IF(J182="Chi tiết",'Chẩn đoán'!K88,W182))</x:f>
        <x:v>Chưa làm</x:v>
      </x:c>
      <x:c r="Q182" s="56" t="str">
        <x:f>IF(AND(P182="Đã chấm",J182="Nhanh",LEN(B161)&gt;0),B161,"")</x:f>
      </x:c>
      <x:c r="R182" s="56" t="n">
        <x:f>SUM(IF(ISBLANK(B153),0,1),IF(ISBLANK(C153),0,1),IF(ISBLANK(D153),0,1),IF(ISBLANK(E153),0,1),IF(ISBLANK(F153),0,1),IF(ISBLANK(G153),0,1))</x:f>
        <x:v>0</x:v>
      </x:c>
      <x:c r="S182" s="56" t="n">
        <x:f>COUNTIF(I76:I81,-1)</x:f>
        <x:v>0</x:v>
      </x:c>
      <x:c r="T182" s="56" t="n">
        <x:f>SUM(J76:J81)</x:f>
        <x:v>0</x:v>
      </x:c>
      <x:c r="U182" s="56" t="n">
        <x:f>COUNTA('Chẩn đoán'!F68:H73,'Chẩn đoán'!H88:J88)</x:f>
        <x:v>0</x:v>
      </x:c>
      <x:c r="V182" s="56" t="n">
        <x:f>COUNTA(B153,C153,D153,E153,F153,G153,B156,D156,F156,B157,B161)</x:f>
        <x:v>0</x:v>
      </x:c>
      <x:c r="W182" s="56" t="str">
        <x:f>IF(V182=0,"Chưa làm",IF(S182&gt;0,"Sửa đáp án",IF(R182&lt;K182,"Còn "&amp;(K182-R182)&amp;" câu",IF(B157&lt;&gt;"Xong","Chọn Xong để chấm",IF(NOT(IF(ISNUMBER(B156),AND(B156&gt;=1,B156&lt;=2958465,MOD(B156,1)=0),FALSE)),"Thiếu/sai ngày",IF(NOT(IF(ISNUMBER(D156),AND(D156&gt;0,D156&lt;=180),FALSE)),"Thiếu/sai phút",IF(AND(F156&lt;&gt;"Mới",F156&lt;&gt;"Ôn lại"),"Chọn Mới/Ôn lại",IF(AND(LEN(B161)&gt;0,COUNTIF('Nhật ký'!$I$63:$I$69,B161)=0),"Sửa mã lỗi","Đã chấm"))))))))</x:f>
        <x:v>Chưa làm</x:v>
      </x:c>
      <x:c r="X182" s="56" t="str">
        <x:f>IF(AND(B157="Xong",R182=K182,S182=0),IF(B153='Chẩn đoán'!N68,"","M3-1, ")&amp;IF(C153='Chẩn đoán'!N69,"","M3-2, ")&amp;IF(D153='Chẩn đoán'!N70,"","M4-1, ")&amp;IF(E153='Chẩn đoán'!N71,"","M4-2, ")&amp;IF(F153='Chẩn đoán'!N72,"","M5-1, ")&amp;IF(G153='Chẩn đoán'!N73,"","M5-2, "),"")</x:f>
      </x:c>
      <x:c r="Y182" s="56" t="n">
        <x:v>6</x:v>
      </x:c>
    </x:row>
    <x:row r="183" ht="28" customHeight="1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</x:row>
    <x:row r="184" ht="28" customHeight="1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</x:row>
    <x:row r="185" ht="28" customHeight="1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</x:row>
  </x:sheetData>
  <x:mergeCells>
    <x:mergeCell ref="B18:G18"/>
    <x:mergeCell ref="B19:G19"/>
    <x:mergeCell ref="B20:G20"/>
    <x:mergeCell ref="B22:G22"/>
    <x:mergeCell ref="A10:G10"/>
    <x:mergeCell ref="E11:G11"/>
    <x:mergeCell ref="D17:G17"/>
    <x:mergeCell ref="B32:G32"/>
    <x:mergeCell ref="B33:G33"/>
    <x:mergeCell ref="B34:G34"/>
    <x:mergeCell ref="B36:G36"/>
    <x:mergeCell ref="A24:G24"/>
    <x:mergeCell ref="E25:G25"/>
    <x:mergeCell ref="D31:G31"/>
    <x:mergeCell ref="B46:G46"/>
    <x:mergeCell ref="B47:G47"/>
    <x:mergeCell ref="B48:G48"/>
    <x:mergeCell ref="B50:G50"/>
    <x:mergeCell ref="A38:G38"/>
    <x:mergeCell ref="E39:G39"/>
    <x:mergeCell ref="D45:G45"/>
    <x:mergeCell ref="B60:G60"/>
    <x:mergeCell ref="B61:G61"/>
    <x:mergeCell ref="B62:G62"/>
    <x:mergeCell ref="B64:G64"/>
    <x:mergeCell ref="A52:G52"/>
    <x:mergeCell ref="E53:G53"/>
    <x:mergeCell ref="D59:G59"/>
    <x:mergeCell ref="B74:G74"/>
    <x:mergeCell ref="B75:G75"/>
    <x:mergeCell ref="B76:G76"/>
    <x:mergeCell ref="B78:G78"/>
    <x:mergeCell ref="A66:G66"/>
    <x:mergeCell ref="E67:G67"/>
    <x:mergeCell ref="D73:G73"/>
    <x:mergeCell ref="B88:G88"/>
    <x:mergeCell ref="B89:G89"/>
    <x:mergeCell ref="B90:G90"/>
    <x:mergeCell ref="B92:G92"/>
    <x:mergeCell ref="A80:G80"/>
    <x:mergeCell ref="E81:G81"/>
    <x:mergeCell ref="D87:G87"/>
    <x:mergeCell ref="B102:G102"/>
    <x:mergeCell ref="B103:G103"/>
    <x:mergeCell ref="B104:G104"/>
    <x:mergeCell ref="B106:G106"/>
    <x:mergeCell ref="A94:G94"/>
    <x:mergeCell ref="E95:G95"/>
    <x:mergeCell ref="D101:G101"/>
    <x:mergeCell ref="B116:G116"/>
    <x:mergeCell ref="B117:G117"/>
    <x:mergeCell ref="B118:G118"/>
    <x:mergeCell ref="B120:G120"/>
    <x:mergeCell ref="A108:G108"/>
    <x:mergeCell ref="E109:G109"/>
    <x:mergeCell ref="D115:G115"/>
    <x:mergeCell ref="B130:G130"/>
    <x:mergeCell ref="B131:G131"/>
    <x:mergeCell ref="B132:G132"/>
    <x:mergeCell ref="B134:G134"/>
    <x:mergeCell ref="A122:G122"/>
    <x:mergeCell ref="E123:G123"/>
    <x:mergeCell ref="D129:G129"/>
    <x:mergeCell ref="B144:G144"/>
    <x:mergeCell ref="B145:G145"/>
    <x:mergeCell ref="B146:G146"/>
    <x:mergeCell ref="B148:G148"/>
    <x:mergeCell ref="A136:G136"/>
    <x:mergeCell ref="E137:G137"/>
    <x:mergeCell ref="D143:G143"/>
    <x:mergeCell ref="B158:G158"/>
    <x:mergeCell ref="B159:G159"/>
    <x:mergeCell ref="B160:G160"/>
    <x:mergeCell ref="B162:G162"/>
    <x:mergeCell ref="A150:G150"/>
    <x:mergeCell ref="E151:G151"/>
    <x:mergeCell ref="D157:G157"/>
    <x:mergeCell ref="A4:G4"/>
    <x:mergeCell ref="A5:G5"/>
    <x:mergeCell ref="A6:G6"/>
  </x:mergeCells>
  <x:conditionalFormatting sqref="B18:B18">
    <x:cfRule type="expression" dxfId="12" priority="1">
      <x:formula>AND(B18&lt;&gt;"Đã chấm",B18&lt;&gt;"Chưa làm")</x:formula>
    </x:cfRule>
  </x:conditionalFormatting>
  <x:conditionalFormatting sqref="B32:B32">
    <x:cfRule type="expression" dxfId="13" priority="2">
      <x:formula>AND(B32&lt;&gt;"Đã chấm",B32&lt;&gt;"Chưa làm")</x:formula>
    </x:cfRule>
  </x:conditionalFormatting>
  <x:conditionalFormatting sqref="B46:B46">
    <x:cfRule type="expression" dxfId="14" priority="3">
      <x:formula>AND(B46&lt;&gt;"Đã chấm",B46&lt;&gt;"Chưa làm")</x:formula>
    </x:cfRule>
  </x:conditionalFormatting>
  <x:conditionalFormatting sqref="B60:B60">
    <x:cfRule type="expression" dxfId="15" priority="4">
      <x:formula>AND(B60&lt;&gt;"Đã chấm",B60&lt;&gt;"Chưa làm")</x:formula>
    </x:cfRule>
  </x:conditionalFormatting>
  <x:conditionalFormatting sqref="B74:B74">
    <x:cfRule type="expression" dxfId="16" priority="5">
      <x:formula>AND(B74&lt;&gt;"Đã chấm",B74&lt;&gt;"Chưa làm")</x:formula>
    </x:cfRule>
  </x:conditionalFormatting>
  <x:conditionalFormatting sqref="B88:B88">
    <x:cfRule type="expression" dxfId="17" priority="6">
      <x:formula>AND(B88&lt;&gt;"Đã chấm",B88&lt;&gt;"Chưa làm")</x:formula>
    </x:cfRule>
  </x:conditionalFormatting>
  <x:conditionalFormatting sqref="B102:B102">
    <x:cfRule type="expression" dxfId="18" priority="7">
      <x:formula>AND(B102&lt;&gt;"Đã chấm",B102&lt;&gt;"Chưa làm")</x:formula>
    </x:cfRule>
  </x:conditionalFormatting>
  <x:conditionalFormatting sqref="B116:B116">
    <x:cfRule type="expression" dxfId="19" priority="8">
      <x:formula>AND(B116&lt;&gt;"Đã chấm",B116&lt;&gt;"Chưa làm")</x:formula>
    </x:cfRule>
  </x:conditionalFormatting>
  <x:conditionalFormatting sqref="B130:B130">
    <x:cfRule type="expression" dxfId="20" priority="9">
      <x:formula>AND(B130&lt;&gt;"Đã chấm",B130&lt;&gt;"Chưa làm")</x:formula>
    </x:cfRule>
  </x:conditionalFormatting>
  <x:conditionalFormatting sqref="B144:B144">
    <x:cfRule type="expression" dxfId="21" priority="10">
      <x:formula>AND(B144&lt;&gt;"Đã chấm",B144&lt;&gt;"Chưa làm")</x:formula>
    </x:cfRule>
  </x:conditionalFormatting>
  <x:conditionalFormatting sqref="B158:B158">
    <x:cfRule type="expression" dxfId="22" priority="11">
      <x:formula>AND(B158&lt;&gt;"Đã chấm",B158&lt;&gt;"Chưa làm")</x:formula>
    </x:cfRule>
  </x:conditionalFormatting>
  <x:dataValidations count="121">
    <x:dataValidation type="whole" operator="between" sqref="B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F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G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16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16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16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17" allowBlank="1" showErrorMessage="1" errorStyle="stop" errorTitle="Giá trị chưa hợp lệ" error="Nhập đúng phạm vi; 0 là bỏ câu, trống là chưa làm.">
      <x:formula1>"Xong"</x:formula1>
    </x:dataValidation>
    <x:dataValidation type="list" sqref="B21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2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2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2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2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F2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G2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2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30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30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30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31" allowBlank="1" showErrorMessage="1" errorStyle="stop" errorTitle="Giá trị chưa hợp lệ" error="Nhập đúng phạm vi; 0 là bỏ câu, trống là chưa làm.">
      <x:formula1>"Xong"</x:formula1>
    </x:dataValidation>
    <x:dataValidation type="list" sqref="B35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4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4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4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4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F4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G4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4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4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4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4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44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44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44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45" allowBlank="1" showErrorMessage="1" errorStyle="stop" errorTitle="Giá trị chưa hợp lệ" error="Nhập đúng phạm vi; 0 là bỏ câu, trống là chưa làm.">
      <x:formula1>"Xong"</x:formula1>
    </x:dataValidation>
    <x:dataValidation type="list" sqref="B49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5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5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5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5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F5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58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58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58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59" allowBlank="1" showErrorMessage="1" errorStyle="stop" errorTitle="Giá trị chưa hợp lệ" error="Nhập đúng phạm vi; 0 là bỏ câu, trống là chưa làm.">
      <x:formula1>"Xong"</x:formula1>
    </x:dataValidation>
    <x:dataValidation type="list" sqref="B63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6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6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6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6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72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72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72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73" allowBlank="1" showErrorMessage="1" errorStyle="stop" errorTitle="Giá trị chưa hợp lệ" error="Nhập đúng phạm vi; 0 là bỏ câu, trống là chưa làm.">
      <x:formula1>"Xong"</x:formula1>
    </x:dataValidation>
    <x:dataValidation type="list" sqref="B77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83" allowBlank="1" showErrorMessage="1" errorStyle="stop" errorTitle="Giá trị chưa hợp lệ" error="Nhập đúng phạm vi; 0 là bỏ câu, trống là chưa làm.">
      <x:formula1>0</x:formula1>
      <x:formula2>3</x:formula2>
    </x:dataValidation>
    <x:dataValidation type="whole" operator="between" sqref="C83" allowBlank="1" showErrorMessage="1" errorStyle="stop" errorTitle="Giá trị chưa hợp lệ" error="Nhập đúng phạm vi; 0 là bỏ câu, trống là chưa làm.">
      <x:formula1>0</x:formula1>
      <x:formula2>3</x:formula2>
    </x:dataValidation>
    <x:dataValidation type="whole" operator="between" sqref="D83" allowBlank="1" showErrorMessage="1" errorStyle="stop" errorTitle="Giá trị chưa hợp lệ" error="Nhập đúng phạm vi; 0 là bỏ câu, trống là chưa làm.">
      <x:formula1>0</x:formula1>
      <x:formula2>3</x:formula2>
    </x:dataValidation>
    <x:dataValidation type="whole" operator="between" sqref="E83" allowBlank="1" showErrorMessage="1" errorStyle="stop" errorTitle="Giá trị chưa hợp lệ" error="Nhập đúng phạm vi; 0 là bỏ câu, trống là chưa làm.">
      <x:formula1>0</x:formula1>
      <x:formula2>3</x:formula2>
    </x:dataValidation>
    <x:dataValidation type="whole" operator="between" sqref="B86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86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86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87" allowBlank="1" showErrorMessage="1" errorStyle="stop" errorTitle="Giá trị chưa hợp lệ" error="Nhập đúng phạm vi; 0 là bỏ câu, trống là chưa làm.">
      <x:formula1>"Xong"</x:formula1>
    </x:dataValidation>
    <x:dataValidation type="list" sqref="B91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9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9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9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9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F9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G9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100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100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100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101" allowBlank="1" showErrorMessage="1" errorStyle="stop" errorTitle="Giá trị chưa hợp lệ" error="Nhập đúng phạm vi; 0 là bỏ câu, trống là chưa làm.">
      <x:formula1>"Xong"</x:formula1>
    </x:dataValidation>
    <x:dataValidation type="list" sqref="B105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11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11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11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11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F11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G11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1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1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1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1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114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114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114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115" allowBlank="1" showErrorMessage="1" errorStyle="stop" errorTitle="Giá trị chưa hợp lệ" error="Nhập đúng phạm vi; 0 là bỏ câu, trống là chưa làm.">
      <x:formula1>"Xong"</x:formula1>
    </x:dataValidation>
    <x:dataValidation type="list" sqref="B119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12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12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12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12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128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128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128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129" allowBlank="1" showErrorMessage="1" errorStyle="stop" errorTitle="Giá trị chưa hợp lệ" error="Nhập đúng phạm vi; 0 là bỏ câu, trống là chưa làm.">
      <x:formula1>"Xong"</x:formula1>
    </x:dataValidation>
    <x:dataValidation type="list" sqref="B133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13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13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13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13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142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142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142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143" allowBlank="1" showErrorMessage="1" errorStyle="stop" errorTitle="Giá trị chưa hợp lệ" error="Nhập đúng phạm vi; 0 là bỏ câu, trống là chưa làm.">
      <x:formula1>"Xong"</x:formula1>
    </x:dataValidation>
    <x:dataValidation type="list" sqref="B147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15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15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153" allowBlank="1" showErrorMessage="1" errorStyle="stop" errorTitle="Giá trị chưa hợp lệ" error="Nhập đúng phạm vi; 0 là bỏ câu, trống là chưa làm.">
      <x:formula1>0</x:formula1>
      <x:formula2>3</x:formula2>
    </x:dataValidation>
    <x:dataValidation type="whole" operator="between" sqref="E153" allowBlank="1" showErrorMessage="1" errorStyle="stop" errorTitle="Giá trị chưa hợp lệ" error="Nhập đúng phạm vi; 0 là bỏ câu, trống là chưa làm.">
      <x:formula1>0</x:formula1>
      <x:formula2>3</x:formula2>
    </x:dataValidation>
    <x:dataValidation type="whole" operator="between" sqref="F153" allowBlank="1" showErrorMessage="1" errorStyle="stop" errorTitle="Giá trị chưa hợp lệ" error="Nhập đúng phạm vi; 0 là bỏ câu, trống là chưa làm.">
      <x:formula1>0</x:formula1>
      <x:formula2>3</x:formula2>
    </x:dataValidation>
    <x:dataValidation type="whole" operator="between" sqref="G153" allowBlank="1" showErrorMessage="1" errorStyle="stop" errorTitle="Giá trị chưa hợp lệ" error="Nhập đúng phạm vi; 0 là bỏ câu, trống là chưa làm.">
      <x:formula1>0</x:formula1>
      <x:formula2>3</x:formula2>
    </x:dataValidation>
    <x:dataValidation type="whole" operator="between" sqref="B156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156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156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157" allowBlank="1" showErrorMessage="1" errorStyle="stop" errorTitle="Giá trị chưa hợp lệ" error="Nhập đúng phạm vi; 0 là bỏ câu, trống là chưa làm.">
      <x:formula1>"Xong"</x:formula1>
    </x:dataValidation>
    <x:dataValidation type="list" sqref="B161" allowBlank="1" showErrorMessage="1" errorStyle="stop" errorTitle="Giá trị chưa hợp lệ" error="Nhập đúng phạm vi; 0 là bỏ câu, trống là chưa làm.">
      <x:formula1>"V,G,R,A,M,T,F"</x:formula1>
    </x:dataValidation>
  </x:dataValidations>
  <x:hyperlinks>
    <x:hyperlink ref="A7" display="N4-G1" location="'Làm nhanh'!A10"/>
    <x:hyperlink xmlns:ns0="http://schemas.openxmlformats.org/officeDocument/2006/relationships" ref="B11" display="Mở đề" ns0:id="rIdV31"/>
    <x:hyperlink xmlns:ns1="http://schemas.openxmlformats.org/officeDocument/2006/relationships" ref="E11" display="Khóa sau khi làm" ns1:id="rIdV32"/>
    <x:hyperlink ref="E21" display="Xem tuần" location="'Tổng hợp tuần'!A2"/>
    <x:hyperlink ref="B7" display="N4-G2" location="'Làm nhanh'!A24"/>
    <x:hyperlink xmlns:ns2="http://schemas.openxmlformats.org/officeDocument/2006/relationships" ref="B25" display="Mở đề" ns2:id="rIdV33"/>
    <x:hyperlink xmlns:ns3="http://schemas.openxmlformats.org/officeDocument/2006/relationships" ref="E25" display="Khóa sau khi làm" ns3:id="rIdV34"/>
    <x:hyperlink ref="E35" display="Xem tuần" location="'Tổng hợp tuần'!A2"/>
    <x:hyperlink ref="C7" display="N4-V" location="'Làm nhanh'!A38"/>
    <x:hyperlink xmlns:ns4="http://schemas.openxmlformats.org/officeDocument/2006/relationships" ref="B39" display="Mở đề" ns4:id="rIdV35"/>
    <x:hyperlink xmlns:ns5="http://schemas.openxmlformats.org/officeDocument/2006/relationships" ref="E39" display="Khóa sau khi làm" ns5:id="rIdV36"/>
    <x:hyperlink ref="E49" display="Xem tuần" location="'Tổng hợp tuần'!A2"/>
    <x:hyperlink ref="D7" display="N4-R" location="'Làm nhanh'!A52"/>
    <x:hyperlink xmlns:ns6="http://schemas.openxmlformats.org/officeDocument/2006/relationships" ref="B53" display="Mở đề" ns6:id="rIdV37"/>
    <x:hyperlink xmlns:ns7="http://schemas.openxmlformats.org/officeDocument/2006/relationships" ref="E53" display="Khóa sau khi làm" ns7:id="rIdV38"/>
    <x:hyperlink ref="E63" display="Xem tuần" location="'Tổng hợp tuần'!A2"/>
    <x:hyperlink ref="E7" display="N4-L1" location="'Làm nhanh'!A66"/>
    <x:hyperlink xmlns:ns8="http://schemas.openxmlformats.org/officeDocument/2006/relationships" ref="B67" display="Mở đề" ns8:id="rIdV39"/>
    <x:hyperlink xmlns:ns9="http://schemas.openxmlformats.org/officeDocument/2006/relationships" ref="E67" display="Khóa sau khi làm" ns9:id="rIdV310"/>
    <x:hyperlink ref="E77" display="Xem tuần" location="'Tổng hợp tuần'!A2"/>
    <x:hyperlink ref="F7" display="N4-L2" location="'Làm nhanh'!A80"/>
    <x:hyperlink xmlns:ns10="http://schemas.openxmlformats.org/officeDocument/2006/relationships" ref="B81" display="Mở đề" ns10:id="rIdV311"/>
    <x:hyperlink xmlns:ns11="http://schemas.openxmlformats.org/officeDocument/2006/relationships" ref="E81" display="Khóa sau khi làm" ns11:id="rIdV312"/>
    <x:hyperlink ref="E91" display="Xem tuần" location="'Tổng hợp tuần'!A2"/>
    <x:hyperlink ref="A8" display="N3-G" location="'Làm nhanh'!A94"/>
    <x:hyperlink xmlns:ns12="http://schemas.openxmlformats.org/officeDocument/2006/relationships" ref="B95" display="Mở đề" ns12:id="rIdV313"/>
    <x:hyperlink xmlns:ns13="http://schemas.openxmlformats.org/officeDocument/2006/relationships" ref="E95" display="Khóa sau khi làm" ns13:id="rIdV314"/>
    <x:hyperlink ref="E105" display="Xem tuần" location="'Tổng hợp tuần'!A2"/>
    <x:hyperlink ref="B8" display="N3-V" location="'Làm nhanh'!A108"/>
    <x:hyperlink xmlns:ns14="http://schemas.openxmlformats.org/officeDocument/2006/relationships" ref="B109" display="Mở đề" ns14:id="rIdV315"/>
    <x:hyperlink xmlns:ns15="http://schemas.openxmlformats.org/officeDocument/2006/relationships" ref="E109" display="Khóa sau khi làm" ns15:id="rIdV316"/>
    <x:hyperlink ref="E119" display="Xem tuần" location="'Tổng hợp tuần'!A2"/>
    <x:hyperlink ref="C8" display="N3-R" location="'Làm nhanh'!A122"/>
    <x:hyperlink xmlns:ns16="http://schemas.openxmlformats.org/officeDocument/2006/relationships" ref="B123" display="Mở đề" ns16:id="rIdV317"/>
    <x:hyperlink xmlns:ns17="http://schemas.openxmlformats.org/officeDocument/2006/relationships" ref="E123" display="Khóa sau khi làm" ns17:id="rIdV318"/>
    <x:hyperlink ref="E133" display="Xem tuần" location="'Tổng hợp tuần'!A2"/>
    <x:hyperlink ref="D8" display="N3-L1" location="'Làm nhanh'!A136"/>
    <x:hyperlink xmlns:ns18="http://schemas.openxmlformats.org/officeDocument/2006/relationships" ref="B137" display="Mở đề" ns18:id="rIdV319"/>
    <x:hyperlink xmlns:ns19="http://schemas.openxmlformats.org/officeDocument/2006/relationships" ref="E137" display="Khóa sau khi làm" ns19:id="rIdV320"/>
    <x:hyperlink ref="E147" display="Xem tuần" location="'Tổng hợp tuần'!A2"/>
    <x:hyperlink ref="E8" display="N3-L2" location="'Làm nhanh'!A150"/>
    <x:hyperlink xmlns:ns20="http://schemas.openxmlformats.org/officeDocument/2006/relationships" ref="B151" display="Mở đề" ns20:id="rIdV321"/>
    <x:hyperlink xmlns:ns21="http://schemas.openxmlformats.org/officeDocument/2006/relationships" ref="E151" display="Khóa sau khi làm" ns21:id="rIdV322"/>
    <x:hyperlink ref="E161" display="Xem tuần" location="'Tổng hợp tuần'!A2"/>
  </x:hyperlinks>
  <x:pageMargins left="0.7" right="0.7" top="0.75" bottom="0.75" header="0.3" footer="0.3"/>
</x:worksheet>
</file>